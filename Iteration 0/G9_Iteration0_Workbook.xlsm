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Drone Specification Data" sheetId="1" r:id="rId5"/>
    <sheet state="visible" name="Time Calculations Of Drone Acti" sheetId="2" r:id="rId6"/>
  </sheets>
  <definedNames/>
  <calcPr/>
  <extLst>
    <ext uri="GoogleSheetsCustomDataVersion2">
      <go:sheetsCustomData xmlns:go="http://customooxmlschemas.google.com/" r:id="rId7" roundtripDataChecksum="G20x04yE9QevxIDZV/HMFtpZe3BcYqbaBJ+N3OOglZ0="/>
    </ext>
  </extLst>
</workbook>
</file>

<file path=xl/sharedStrings.xml><?xml version="1.0" encoding="utf-8"?>
<sst xmlns="http://schemas.openxmlformats.org/spreadsheetml/2006/main" count="193" uniqueCount="130">
  <si>
    <t>Name</t>
  </si>
  <si>
    <t>Skydio X10</t>
  </si>
  <si>
    <t>Draganfly Heavy Lift Drone</t>
  </si>
  <si>
    <t>Hercules 20</t>
  </si>
  <si>
    <t>Perimeter 8+ UAV</t>
  </si>
  <si>
    <t>IF1200</t>
  </si>
  <si>
    <t>Max Speed</t>
  </si>
  <si>
    <t>20m/s (72 km/h)</t>
  </si>
  <si>
    <t>22 m/s (79.2 km/h)</t>
  </si>
  <si>
    <t>25 m/s (90 km/h)</t>
  </si>
  <si>
    <t>19.5 m/s (70 km/h)</t>
  </si>
  <si>
    <t>Acceleration - Horizontal and Vertical</t>
  </si>
  <si>
    <t>6 m/s^2</t>
  </si>
  <si>
    <t>5 m/s^2</t>
  </si>
  <si>
    <t>Ascent Speed</t>
  </si>
  <si>
    <t>6 m/s</t>
  </si>
  <si>
    <t>5 m/s</t>
  </si>
  <si>
    <t>Descent Speed</t>
  </si>
  <si>
    <t>4 m/s</t>
  </si>
  <si>
    <t>2.5 m/s</t>
  </si>
  <si>
    <t>Acceleration/Deceleration With Payload full (estimate)</t>
  </si>
  <si>
    <t>3.5 m/s^2</t>
  </si>
  <si>
    <t>Acceleration/Deceleration With Payload empty (estimate)</t>
  </si>
  <si>
    <t>4.5 m/s^2</t>
  </si>
  <si>
    <t>Max Payload Capacity</t>
  </si>
  <si>
    <t>0.84 lbs / 0.38 kg</t>
  </si>
  <si>
    <t>67 lbs / 30 kg</t>
  </si>
  <si>
    <t>33 lbs / 15 kg</t>
  </si>
  <si>
    <t>22 lbs / 10 kg</t>
  </si>
  <si>
    <t>19.1lbs / 8.6 kg</t>
  </si>
  <si>
    <t>Drone Weight Without Payload</t>
  </si>
  <si>
    <t>4.65 lbs / 2.11 kg</t>
  </si>
  <si>
    <t>97 lbs / 44 kg</t>
  </si>
  <si>
    <t>39.8 lbs / 18 kg</t>
  </si>
  <si>
    <t>35 lbs / 16 kg</t>
  </si>
  <si>
    <t>35.9 lbs / 16.3 kg</t>
  </si>
  <si>
    <t>Max Takeoff Weight</t>
  </si>
  <si>
    <t>5.49 lbs / 2.49 kg</t>
  </si>
  <si>
    <t>164 lbs / 74 kg</t>
  </si>
  <si>
    <t>72.8 lbs / 33 kg</t>
  </si>
  <si>
    <t>57 lb / 26 kg</t>
  </si>
  <si>
    <t>55 lbs / 24.9 kg</t>
  </si>
  <si>
    <t>Travel Time Between Zones (using example Zone ID1 700,600)</t>
  </si>
  <si>
    <t>104 s</t>
  </si>
  <si>
    <t>Rate of Flow</t>
  </si>
  <si>
    <t>Arbitrary</t>
  </si>
  <si>
    <t>1 s</t>
  </si>
  <si>
    <t>Nozzle Time</t>
  </si>
  <si>
    <t>N/A</t>
  </si>
  <si>
    <t>References of the values</t>
  </si>
  <si>
    <t>https://www.skydio.com/x10/technical-specs</t>
  </si>
  <si>
    <t>https://draganfly.com/wp-content/uploads/2023/06/Draganfly-Heavy-Lift-Specs-Sheet-2023-PDF.pdf</t>
  </si>
  <si>
    <t>https://www.futurefarming.com/smart-farming/tools-data/drone-volt-launches-new-hercules-20-heavy-lift-drone/</t>
  </si>
  <si>
    <t>https://skyfront.com/perimeter-8</t>
  </si>
  <si>
    <t>https://storage.googleapis.com/inspiredflight-com/uploads/IF1200%20Spec%20Sheet%20.pdf</t>
  </si>
  <si>
    <r>
      <rPr>
        <rFont val="Arial"/>
        <color rgb="FF1155CC"/>
        <sz val="10.0"/>
        <u/>
      </rPr>
      <t>Hercules_Spray_2024_EN.pdf</t>
    </r>
  </si>
  <si>
    <t>Drone Model</t>
  </si>
  <si>
    <t>units</t>
  </si>
  <si>
    <t>DRONE SPECS</t>
  </si>
  <si>
    <t>LEGEND</t>
  </si>
  <si>
    <t>Max Velocity Horizontal Flight</t>
  </si>
  <si>
    <t xml:space="preserve">m/s </t>
  </si>
  <si>
    <t>Input Required:</t>
  </si>
  <si>
    <t>Max Velocity Ascent Flight</t>
  </si>
  <si>
    <t>m/s</t>
  </si>
  <si>
    <t>data result:</t>
  </si>
  <si>
    <t>Max Velocity Descent Flight</t>
  </si>
  <si>
    <t>Acceleration No Payload</t>
  </si>
  <si>
    <t>m/s^2</t>
  </si>
  <si>
    <t>WEIGHT</t>
  </si>
  <si>
    <t>kg</t>
  </si>
  <si>
    <t>Weight of Payload Empty</t>
  </si>
  <si>
    <t>Weight of Single Fire Extinguishing Balls (FEBs)</t>
  </si>
  <si>
    <t>Weight of Payload Full (8x FEBs)</t>
  </si>
  <si>
    <t>Thrust Force Of Drone</t>
  </si>
  <si>
    <t>N</t>
  </si>
  <si>
    <t>TO ZONE TRIP DATA</t>
  </si>
  <si>
    <t>Payload with x number of FEBs To Zone Trip</t>
  </si>
  <si>
    <t>FEB Count</t>
  </si>
  <si>
    <t>Weight FEBs To Zone Trip</t>
  </si>
  <si>
    <t>Net Weight To Zone Trip</t>
  </si>
  <si>
    <t>Acceleration of Drone To Zone Trip</t>
  </si>
  <si>
    <t>Zone Coordinates x2</t>
  </si>
  <si>
    <t xml:space="preserve">m </t>
  </si>
  <si>
    <t>Zone Coordinates y2</t>
  </si>
  <si>
    <t>m</t>
  </si>
  <si>
    <t>RETURN TRIP DATA</t>
  </si>
  <si>
    <t>Payload with x number of FEBs Return Trip</t>
  </si>
  <si>
    <t>Weight FEBs Return Trip</t>
  </si>
  <si>
    <t>Net Weight Return Trip</t>
  </si>
  <si>
    <t>Acceleration of Drone Return Trip</t>
  </si>
  <si>
    <t>Zone Coordinates, x1</t>
  </si>
  <si>
    <t>Zone Coordinates, y1</t>
  </si>
  <si>
    <t>SHARED TRIP PRE DATA</t>
  </si>
  <si>
    <t>Max Height of Drone Flight, z2 = Δd(vertical)</t>
  </si>
  <si>
    <t>Min Height of Drone Flight, z1 = land</t>
  </si>
  <si>
    <t>distance of horizontal flight = Δd(horizontal)</t>
  </si>
  <si>
    <t>VERTICAL FLIGHT ASCENT TO ZONE (hard stop)</t>
  </si>
  <si>
    <t>distance to accelerate</t>
  </si>
  <si>
    <t>distance of constant (max) velocity</t>
  </si>
  <si>
    <t>time of acceleration</t>
  </si>
  <si>
    <t xml:space="preserve">t1 = </t>
  </si>
  <si>
    <t>s</t>
  </si>
  <si>
    <t>time of constant (max) velocity</t>
  </si>
  <si>
    <t xml:space="preserve">t2 = </t>
  </si>
  <si>
    <t>time total vertical flight ascent to zone</t>
  </si>
  <si>
    <t>HORIZONTAL FLIGHT TO ZONE</t>
  </si>
  <si>
    <t xml:space="preserve">distance to accelerate </t>
  </si>
  <si>
    <t xml:space="preserve">distance to deaccelerate </t>
  </si>
  <si>
    <t xml:space="preserve">t3 = </t>
  </si>
  <si>
    <t xml:space="preserve">t4 = </t>
  </si>
  <si>
    <t>time of deacceleration</t>
  </si>
  <si>
    <t xml:space="preserve">t5 = </t>
  </si>
  <si>
    <t>time total horizontal flight to zone</t>
  </si>
  <si>
    <t>HORIZONTAL FLIGHT RETURN</t>
  </si>
  <si>
    <t xml:space="preserve">t6 = </t>
  </si>
  <si>
    <t xml:space="preserve">t7 = </t>
  </si>
  <si>
    <t xml:space="preserve">t8 = </t>
  </si>
  <si>
    <t>time total horizontal flight return</t>
  </si>
  <si>
    <t>VERTICAL FLIGHT DESCENT RETURN (hard landing)</t>
  </si>
  <si>
    <t xml:space="preserve">t9 = </t>
  </si>
  <si>
    <t xml:space="preserve">t10 = </t>
  </si>
  <si>
    <t>time total vertical flight descent return</t>
  </si>
  <si>
    <t>TOTAL TRAVEL TIME BETWEEN ZONES</t>
  </si>
  <si>
    <t xml:space="preserve">RATE OF DROPPING FOAM </t>
  </si>
  <si>
    <t>Time to dispense single FEB (estimate)</t>
  </si>
  <si>
    <t>Time to dispense all FEBs</t>
  </si>
  <si>
    <t xml:space="preserve">tdrop = </t>
  </si>
  <si>
    <t>TOTAL TIME TO DROP FOAM</t>
  </si>
  <si>
    <t>TOTAL TIME OF ALL DRONE ACTIONS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</si>
</sst>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0.0"/>
      <color rgb="FF000000"/>
      <name val="Arial"/>
      <scheme val="minor"/>
    </font>
    <font>
      <b/>
      <sz val="10.0"/>
      <color theme="1"/>
      <name val="Arial"/>
    </font>
    <font>
      <sz val="10.0"/>
      <color theme="1"/>
      <name val="Arial"/>
    </font>
    <font>
      <sz val="10.0"/>
      <color rgb="FFFF0000"/>
      <name val="Arial"/>
    </font>
    <font>
      <u/>
      <sz val="10.0"/>
      <color rgb="FF0000FF"/>
      <name val="Arial"/>
    </font>
    <font>
      <b/>
      <sz val="10.0"/>
      <color rgb="FFFFFFFF"/>
      <name val="Arial"/>
    </font>
  </fonts>
  <fills count="10">
    <fill>
      <patternFill patternType="none"/>
    </fill>
    <fill>
      <patternFill patternType="lightGray"/>
    </fill>
    <fill>
      <patternFill patternType="solid">
        <fgColor rgb="FF00FF00"/>
        <bgColor rgb="FF00FF00"/>
      </patternFill>
    </fill>
    <fill>
      <patternFill patternType="solid">
        <fgColor rgb="FFD9EAD3"/>
        <bgColor rgb="FFD9EAD3"/>
      </patternFill>
    </fill>
    <fill>
      <patternFill patternType="solid">
        <fgColor rgb="FFFFF2CC"/>
        <bgColor rgb="FFFFF2CC"/>
      </patternFill>
    </fill>
    <fill>
      <patternFill patternType="solid">
        <fgColor rgb="FFF4CCCC"/>
        <bgColor rgb="FFF4CCCC"/>
      </patternFill>
    </fill>
    <fill>
      <patternFill patternType="solid">
        <fgColor rgb="FFCCCCCC"/>
        <bgColor rgb="FFCCCCCC"/>
      </patternFill>
    </fill>
    <fill>
      <patternFill patternType="solid">
        <fgColor rgb="FF00FFFF"/>
        <bgColor rgb="FF00FFFF"/>
      </patternFill>
    </fill>
    <fill>
      <patternFill patternType="solid">
        <fgColor rgb="FF000000"/>
        <bgColor rgb="FF000000"/>
      </patternFill>
    </fill>
    <fill>
      <patternFill patternType="solid">
        <fgColor rgb="FFD9D9D9"/>
        <bgColor rgb="FFD9D9D9"/>
      </patternFill>
    </fill>
  </fills>
  <borders count="24">
    <border/>
    <border>
      <left/>
      <right/>
      <top/>
      <bottom/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/>
    </border>
    <border>
      <left/>
      <right style="thin">
        <color rgb="FF000000"/>
      </right>
      <top/>
      <bottom/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thick">
        <color rgb="FF000000"/>
      </left>
      <right/>
      <top style="thick">
        <color rgb="FF000000"/>
      </top>
      <bottom style="thick">
        <color rgb="FF000000"/>
      </bottom>
    </border>
    <border>
      <left/>
      <right/>
      <top style="thick">
        <color rgb="FF000000"/>
      </top>
      <bottom style="thick">
        <color rgb="FF000000"/>
      </bottom>
    </border>
    <border>
      <left/>
      <right style="thick">
        <color rgb="FF000000"/>
      </right>
      <top style="thick">
        <color rgb="FF000000"/>
      </top>
      <bottom style="thick">
        <color rgb="FF000000"/>
      </bottom>
    </border>
  </borders>
  <cellStyleXfs count="1">
    <xf borderId="0" fillId="0" fontId="0" numFmtId="0" applyAlignment="1" applyFont="1"/>
  </cellStyleXfs>
  <cellXfs count="7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2" fontId="1" numFmtId="0" xfId="0" applyBorder="1" applyFill="1" applyFont="1"/>
    <xf borderId="0" fillId="0" fontId="2" numFmtId="0" xfId="0" applyFont="1"/>
    <xf borderId="0" fillId="0" fontId="3" numFmtId="0" xfId="0" applyFont="1"/>
    <xf borderId="0" fillId="0" fontId="4" numFmtId="0" xfId="0" applyFont="1"/>
    <xf borderId="2" fillId="0" fontId="2" numFmtId="0" xfId="0" applyBorder="1" applyFont="1"/>
    <xf borderId="3" fillId="0" fontId="2" numFmtId="0" xfId="0" applyBorder="1" applyFont="1"/>
    <xf borderId="4" fillId="0" fontId="2" numFmtId="0" xfId="0" applyBorder="1" applyFont="1"/>
    <xf borderId="1" fillId="3" fontId="2" numFmtId="0" xfId="0" applyBorder="1" applyFill="1" applyFont="1"/>
    <xf borderId="1" fillId="4" fontId="2" numFmtId="0" xfId="0" applyBorder="1" applyFill="1" applyFont="1"/>
    <xf borderId="1" fillId="5" fontId="2" numFmtId="0" xfId="0" applyBorder="1" applyFill="1" applyFont="1"/>
    <xf borderId="5" fillId="0" fontId="2" numFmtId="0" xfId="0" applyBorder="1" applyFont="1"/>
    <xf borderId="6" fillId="0" fontId="2" numFmtId="0" xfId="0" applyBorder="1" applyFont="1"/>
    <xf borderId="1" fillId="6" fontId="2" numFmtId="0" xfId="0" applyBorder="1" applyFill="1" applyFont="1"/>
    <xf borderId="1" fillId="7" fontId="2" numFmtId="0" xfId="0" applyBorder="1" applyFill="1" applyFont="1"/>
    <xf borderId="1" fillId="2" fontId="2" numFmtId="0" xfId="0" applyBorder="1" applyFont="1"/>
    <xf borderId="1" fillId="8" fontId="2" numFmtId="0" xfId="0" applyBorder="1" applyFill="1" applyFont="1"/>
    <xf borderId="7" fillId="0" fontId="2" numFmtId="0" xfId="0" applyBorder="1" applyFont="1"/>
    <xf borderId="8" fillId="0" fontId="2" numFmtId="0" xfId="0" applyBorder="1" applyFont="1"/>
    <xf borderId="9" fillId="0" fontId="2" numFmtId="0" xfId="0" applyBorder="1" applyFont="1"/>
    <xf borderId="10" fillId="0" fontId="1" numFmtId="0" xfId="0" applyBorder="1" applyFont="1"/>
    <xf borderId="11" fillId="0" fontId="2" numFmtId="0" xfId="0" applyBorder="1" applyFont="1"/>
    <xf borderId="12" fillId="0" fontId="2" numFmtId="0" xfId="0" applyBorder="1" applyFont="1"/>
    <xf borderId="13" fillId="3" fontId="2" numFmtId="0" xfId="0" applyBorder="1" applyFont="1"/>
    <xf borderId="14" fillId="3" fontId="2" numFmtId="0" xfId="0" applyBorder="1" applyFont="1"/>
    <xf borderId="15" fillId="3" fontId="2" numFmtId="0" xfId="0" applyBorder="1" applyFont="1"/>
    <xf borderId="0" fillId="0" fontId="2" numFmtId="2" xfId="0" applyFont="1" applyNumberFormat="1"/>
    <xf borderId="16" fillId="3" fontId="2" numFmtId="0" xfId="0" applyBorder="1" applyFont="1"/>
    <xf borderId="17" fillId="3" fontId="2" numFmtId="0" xfId="0" applyBorder="1" applyFont="1"/>
    <xf borderId="18" fillId="3" fontId="2" numFmtId="0" xfId="0" applyBorder="1" applyFont="1"/>
    <xf borderId="19" fillId="3" fontId="2" numFmtId="0" xfId="0" applyBorder="1" applyFont="1"/>
    <xf borderId="20" fillId="3" fontId="2" numFmtId="0" xfId="0" applyBorder="1" applyFont="1"/>
    <xf borderId="13" fillId="4" fontId="2" numFmtId="0" xfId="0" applyBorder="1" applyFont="1"/>
    <xf borderId="14" fillId="4" fontId="2" numFmtId="0" xfId="0" applyBorder="1" applyFont="1"/>
    <xf borderId="15" fillId="4" fontId="2" numFmtId="0" xfId="0" applyBorder="1" applyFont="1"/>
    <xf borderId="16" fillId="4" fontId="2" numFmtId="0" xfId="0" applyBorder="1" applyFont="1"/>
    <xf borderId="17" fillId="4" fontId="2" numFmtId="0" xfId="0" applyBorder="1" applyFont="1"/>
    <xf borderId="18" fillId="4" fontId="2" numFmtId="0" xfId="0" applyBorder="1" applyFont="1"/>
    <xf borderId="19" fillId="4" fontId="2" numFmtId="0" xfId="0" applyBorder="1" applyFont="1"/>
    <xf borderId="20" fillId="4" fontId="2" numFmtId="0" xfId="0" applyBorder="1" applyFont="1"/>
    <xf borderId="13" fillId="5" fontId="2" numFmtId="0" xfId="0" applyBorder="1" applyFont="1"/>
    <xf borderId="14" fillId="5" fontId="2" numFmtId="0" xfId="0" applyBorder="1" applyFont="1"/>
    <xf borderId="15" fillId="5" fontId="2" numFmtId="0" xfId="0" applyBorder="1" applyFont="1"/>
    <xf borderId="16" fillId="5" fontId="2" numFmtId="0" xfId="0" applyBorder="1" applyFont="1"/>
    <xf borderId="17" fillId="5" fontId="2" numFmtId="0" xfId="0" applyBorder="1" applyFont="1"/>
    <xf borderId="8" fillId="0" fontId="2" numFmtId="2" xfId="0" applyAlignment="1" applyBorder="1" applyFont="1" applyNumberFormat="1">
      <alignment horizontal="right"/>
    </xf>
    <xf borderId="3" fillId="0" fontId="2" numFmtId="2" xfId="0" applyBorder="1" applyFont="1" applyNumberFormat="1"/>
    <xf borderId="16" fillId="6" fontId="2" numFmtId="0" xfId="0" applyBorder="1" applyFont="1"/>
    <xf borderId="1" fillId="6" fontId="2" numFmtId="0" xfId="0" applyAlignment="1" applyBorder="1" applyFont="1">
      <alignment horizontal="right"/>
    </xf>
    <xf borderId="1" fillId="6" fontId="2" numFmtId="2" xfId="0" applyBorder="1" applyFont="1" applyNumberFormat="1"/>
    <xf borderId="17" fillId="6" fontId="2" numFmtId="0" xfId="0" applyBorder="1" applyFont="1"/>
    <xf borderId="18" fillId="7" fontId="2" numFmtId="0" xfId="0" applyBorder="1" applyFont="1"/>
    <xf borderId="19" fillId="7" fontId="2" numFmtId="0" xfId="0" applyBorder="1" applyFont="1"/>
    <xf borderId="19" fillId="7" fontId="2" numFmtId="0" xfId="0" applyAlignment="1" applyBorder="1" applyFont="1">
      <alignment horizontal="right"/>
    </xf>
    <xf borderId="19" fillId="7" fontId="2" numFmtId="2" xfId="0" applyBorder="1" applyFont="1" applyNumberFormat="1"/>
    <xf borderId="20" fillId="7" fontId="2" numFmtId="0" xfId="0" applyBorder="1" applyFont="1"/>
    <xf borderId="0" fillId="0" fontId="2" numFmtId="0" xfId="0" applyAlignment="1" applyFont="1">
      <alignment horizontal="right"/>
    </xf>
    <xf borderId="3" fillId="0" fontId="2" numFmtId="0" xfId="0" applyAlignment="1" applyBorder="1" applyFont="1">
      <alignment horizontal="right"/>
    </xf>
    <xf borderId="16" fillId="9" fontId="2" numFmtId="0" xfId="0" applyBorder="1" applyFill="1" applyFont="1"/>
    <xf borderId="1" fillId="9" fontId="2" numFmtId="0" xfId="0" applyBorder="1" applyFont="1"/>
    <xf borderId="1" fillId="9" fontId="2" numFmtId="0" xfId="0" applyAlignment="1" applyBorder="1" applyFont="1">
      <alignment horizontal="right"/>
    </xf>
    <xf borderId="1" fillId="9" fontId="2" numFmtId="2" xfId="0" applyBorder="1" applyFont="1" applyNumberFormat="1"/>
    <xf borderId="17" fillId="9" fontId="2" numFmtId="0" xfId="0" applyBorder="1" applyFont="1"/>
    <xf borderId="21" fillId="2" fontId="1" numFmtId="0" xfId="0" applyBorder="1" applyFont="1"/>
    <xf borderId="22" fillId="2" fontId="2" numFmtId="0" xfId="0" applyBorder="1" applyFont="1"/>
    <xf borderId="22" fillId="2" fontId="1" numFmtId="2" xfId="0" applyBorder="1" applyFont="1" applyNumberFormat="1"/>
    <xf borderId="23" fillId="2" fontId="1" numFmtId="0" xfId="0" applyBorder="1" applyFont="1"/>
    <xf borderId="16" fillId="7" fontId="2" numFmtId="0" xfId="0" applyBorder="1" applyFont="1"/>
    <xf borderId="1" fillId="7" fontId="2" numFmtId="0" xfId="0" applyAlignment="1" applyBorder="1" applyFont="1">
      <alignment horizontal="right"/>
    </xf>
    <xf borderId="17" fillId="7" fontId="2" numFmtId="0" xfId="0" applyBorder="1" applyFont="1"/>
    <xf borderId="22" fillId="2" fontId="1" numFmtId="0" xfId="0" applyBorder="1" applyFont="1"/>
    <xf borderId="1" fillId="8" fontId="5" numFmtId="0" xfId="0" applyBorder="1" applyFont="1"/>
    <xf borderId="1" fillId="8" fontId="5" numFmtId="2" xfId="0" applyBorder="1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s://www.skydio.com/x10/technical-specs" TargetMode="External"/><Relationship Id="rId2" Type="http://schemas.openxmlformats.org/officeDocument/2006/relationships/hyperlink" Target="https://draganfly.com/wp-content/uploads/2023/06/Draganfly-Heavy-Lift-Specs-Sheet-2023-PDF.pdf" TargetMode="External"/><Relationship Id="rId3" Type="http://schemas.openxmlformats.org/officeDocument/2006/relationships/hyperlink" Target="https://www.futurefarming.com/smart-farming/tools-data/drone-volt-launches-new-hercules-20-heavy-lift-drone/" TargetMode="External"/><Relationship Id="rId4" Type="http://schemas.openxmlformats.org/officeDocument/2006/relationships/hyperlink" Target="https://skyfront.com/perimeter-8" TargetMode="External"/><Relationship Id="rId5" Type="http://schemas.openxmlformats.org/officeDocument/2006/relationships/hyperlink" Target="https://storage.googleapis.com/inspiredflight-com/uploads/IF1200%20Spec%20Sheet%20.pdf" TargetMode="External"/><Relationship Id="rId6" Type="http://schemas.openxmlformats.org/officeDocument/2006/relationships/hyperlink" Target="https://www.dronevolt.com/wp-content/uploads/2024/01/Hercules_Spray_2024_EN.pdf" TargetMode="External"/><Relationship Id="rId7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1" width="38.13"/>
    <col customWidth="1" min="2" max="6" width="24.63"/>
  </cols>
  <sheetData>
    <row r="1" ht="15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ht="15.75" customHeight="1">
      <c r="A2" s="3" t="s">
        <v>6</v>
      </c>
      <c r="B2" s="3" t="s">
        <v>7</v>
      </c>
      <c r="C2" s="3" t="s">
        <v>8</v>
      </c>
      <c r="D2" s="3" t="s">
        <v>9</v>
      </c>
      <c r="E2" s="3" t="s">
        <v>10</v>
      </c>
      <c r="F2" s="3" t="s">
        <v>9</v>
      </c>
    </row>
    <row r="3" ht="15.75" customHeight="1">
      <c r="A3" s="3" t="s">
        <v>11</v>
      </c>
      <c r="B3" s="3" t="s">
        <v>12</v>
      </c>
      <c r="F3" s="3" t="s">
        <v>13</v>
      </c>
    </row>
    <row r="4" ht="15.75" customHeight="1">
      <c r="A4" s="3" t="s">
        <v>14</v>
      </c>
      <c r="B4" s="3" t="s">
        <v>15</v>
      </c>
      <c r="C4" s="3" t="s">
        <v>16</v>
      </c>
      <c r="F4" s="3" t="s">
        <v>16</v>
      </c>
    </row>
    <row r="5" ht="15.75" customHeight="1">
      <c r="A5" s="3" t="s">
        <v>17</v>
      </c>
      <c r="B5" s="3" t="s">
        <v>18</v>
      </c>
      <c r="C5" s="3" t="s">
        <v>18</v>
      </c>
      <c r="F5" s="3" t="s">
        <v>19</v>
      </c>
    </row>
    <row r="6" ht="15.75" customHeight="1"/>
    <row r="7" ht="15.75" customHeight="1">
      <c r="A7" s="3" t="s">
        <v>20</v>
      </c>
      <c r="F7" s="3" t="s">
        <v>21</v>
      </c>
    </row>
    <row r="8" ht="15.75" customHeight="1">
      <c r="A8" s="3" t="s">
        <v>22</v>
      </c>
      <c r="F8" s="3" t="s">
        <v>23</v>
      </c>
    </row>
    <row r="9" ht="15.75" customHeight="1"/>
    <row r="10" ht="15.75" customHeight="1">
      <c r="A10" s="3" t="s">
        <v>24</v>
      </c>
      <c r="B10" s="3" t="s">
        <v>25</v>
      </c>
      <c r="C10" s="3" t="s">
        <v>26</v>
      </c>
      <c r="D10" s="3" t="s">
        <v>27</v>
      </c>
      <c r="E10" s="3" t="s">
        <v>28</v>
      </c>
      <c r="F10" s="3" t="s">
        <v>29</v>
      </c>
    </row>
    <row r="11" ht="15.75" customHeight="1">
      <c r="A11" s="3" t="s">
        <v>30</v>
      </c>
      <c r="B11" s="3" t="s">
        <v>31</v>
      </c>
      <c r="C11" s="3" t="s">
        <v>32</v>
      </c>
      <c r="D11" s="3" t="s">
        <v>33</v>
      </c>
      <c r="E11" s="3" t="s">
        <v>34</v>
      </c>
      <c r="F11" s="3" t="s">
        <v>35</v>
      </c>
    </row>
    <row r="12" ht="15.75" customHeight="1">
      <c r="A12" s="3" t="s">
        <v>36</v>
      </c>
      <c r="B12" s="3" t="s">
        <v>37</v>
      </c>
      <c r="C12" s="3" t="s">
        <v>38</v>
      </c>
      <c r="D12" s="3" t="s">
        <v>39</v>
      </c>
      <c r="E12" s="3" t="s">
        <v>40</v>
      </c>
      <c r="F12" s="3" t="s">
        <v>41</v>
      </c>
    </row>
    <row r="13" ht="15.75" customHeight="1"/>
    <row r="14" ht="15.75" customHeight="1">
      <c r="A14" s="3" t="s">
        <v>42</v>
      </c>
      <c r="F14" s="3" t="s">
        <v>43</v>
      </c>
    </row>
    <row r="15" ht="15.75" customHeight="1">
      <c r="A15" s="3" t="s">
        <v>44</v>
      </c>
      <c r="B15" s="3" t="s">
        <v>45</v>
      </c>
      <c r="F15" s="3" t="s">
        <v>46</v>
      </c>
    </row>
    <row r="16" ht="15.75" customHeight="1">
      <c r="A16" s="3" t="s">
        <v>47</v>
      </c>
      <c r="B16" s="3" t="s">
        <v>45</v>
      </c>
      <c r="F16" s="3" t="s">
        <v>48</v>
      </c>
    </row>
    <row r="17" ht="15.75" customHeight="1"/>
    <row r="18" ht="15.75" customHeight="1"/>
    <row r="19" ht="15.75" customHeight="1"/>
    <row r="20" ht="15.75" customHeight="1"/>
    <row r="21" ht="15.75" customHeight="1"/>
    <row r="22" ht="15.75" customHeight="1">
      <c r="A22" s="3"/>
      <c r="F22" s="3"/>
      <c r="G22" s="4"/>
    </row>
    <row r="23" ht="15.75" customHeight="1">
      <c r="A23" s="3"/>
      <c r="F23" s="3"/>
      <c r="G23" s="4"/>
    </row>
    <row r="24" ht="15.75" customHeight="1">
      <c r="A24" s="3"/>
      <c r="G24" s="4"/>
    </row>
    <row r="25" ht="15.75" customHeight="1"/>
    <row r="26" ht="15.75" customHeight="1">
      <c r="A26" s="3" t="s">
        <v>49</v>
      </c>
      <c r="B26" s="5" t="s">
        <v>50</v>
      </c>
      <c r="C26" s="5" t="s">
        <v>51</v>
      </c>
      <c r="D26" s="5" t="s">
        <v>52</v>
      </c>
      <c r="E26" s="5" t="s">
        <v>53</v>
      </c>
      <c r="F26" s="5" t="s">
        <v>54</v>
      </c>
    </row>
    <row r="27" ht="15.75" customHeight="1">
      <c r="D27" s="5" t="s">
        <v>55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B26"/>
    <hyperlink r:id="rId2" ref="C26"/>
    <hyperlink r:id="rId3" ref="D26"/>
    <hyperlink r:id="rId4" ref="E26"/>
    <hyperlink r:id="rId5" ref="F26"/>
    <hyperlink r:id="rId6" ref="D27"/>
  </hyperlinks>
  <printOptions/>
  <pageMargins bottom="0.75" footer="0.0" header="0.0" left="0.7" right="0.7" top="0.75"/>
  <pageSetup orientation="landscape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1" width="40.63"/>
    <col customWidth="1" min="2" max="6" width="12.63"/>
  </cols>
  <sheetData>
    <row r="1" ht="15.75" customHeight="1">
      <c r="A1" s="1" t="s">
        <v>56</v>
      </c>
      <c r="B1" s="1"/>
      <c r="C1" s="1"/>
      <c r="D1" s="1"/>
      <c r="E1" s="1"/>
      <c r="F1" s="2" t="s">
        <v>5</v>
      </c>
      <c r="G1" s="1" t="s">
        <v>57</v>
      </c>
    </row>
    <row r="2" ht="15.75" customHeight="1">
      <c r="I2" s="3"/>
    </row>
    <row r="3" ht="15.75" customHeight="1">
      <c r="A3" s="1" t="s">
        <v>58</v>
      </c>
      <c r="F3" s="3"/>
      <c r="G3" s="3"/>
      <c r="H3" s="3" t="s">
        <v>59</v>
      </c>
    </row>
    <row r="4" ht="15.75" customHeight="1">
      <c r="A4" s="6" t="s">
        <v>60</v>
      </c>
      <c r="B4" s="7"/>
      <c r="C4" s="7"/>
      <c r="D4" s="7"/>
      <c r="E4" s="7"/>
      <c r="F4" s="7">
        <v>25.0</v>
      </c>
      <c r="G4" s="8" t="s">
        <v>61</v>
      </c>
      <c r="H4" s="3" t="s">
        <v>62</v>
      </c>
      <c r="I4" s="9"/>
      <c r="J4" s="10"/>
      <c r="K4" s="11"/>
    </row>
    <row r="5" ht="15.75" customHeight="1">
      <c r="A5" s="12" t="s">
        <v>63</v>
      </c>
      <c r="F5" s="3">
        <v>5.0</v>
      </c>
      <c r="G5" s="13" t="s">
        <v>64</v>
      </c>
      <c r="H5" s="3" t="s">
        <v>65</v>
      </c>
      <c r="I5" s="14"/>
      <c r="J5" s="15"/>
      <c r="K5" s="16"/>
      <c r="L5" s="17"/>
    </row>
    <row r="6" ht="15.75" customHeight="1">
      <c r="A6" s="12" t="s">
        <v>66</v>
      </c>
      <c r="F6" s="3">
        <v>2.5</v>
      </c>
      <c r="G6" s="13" t="s">
        <v>64</v>
      </c>
    </row>
    <row r="7" ht="15.75" customHeight="1">
      <c r="A7" s="18" t="s">
        <v>67</v>
      </c>
      <c r="B7" s="19"/>
      <c r="C7" s="19"/>
      <c r="D7" s="19"/>
      <c r="E7" s="19"/>
      <c r="F7" s="19">
        <v>5.0</v>
      </c>
      <c r="G7" s="20" t="s">
        <v>68</v>
      </c>
    </row>
    <row r="8" ht="15.75" customHeight="1"/>
    <row r="9" ht="15.75" customHeight="1">
      <c r="A9" s="1" t="s">
        <v>69</v>
      </c>
    </row>
    <row r="10" ht="15.75" customHeight="1">
      <c r="A10" s="6" t="s">
        <v>30</v>
      </c>
      <c r="B10" s="7"/>
      <c r="C10" s="7"/>
      <c r="D10" s="7"/>
      <c r="E10" s="7"/>
      <c r="F10" s="7">
        <v>16.3</v>
      </c>
      <c r="G10" s="8" t="s">
        <v>70</v>
      </c>
    </row>
    <row r="11" ht="15.75" customHeight="1">
      <c r="A11" s="12" t="s">
        <v>71</v>
      </c>
      <c r="F11" s="3">
        <f>8.6-8*F12</f>
        <v>2.3</v>
      </c>
      <c r="G11" s="13" t="s">
        <v>70</v>
      </c>
    </row>
    <row r="12" ht="15.75" customHeight="1">
      <c r="A12" s="12" t="s">
        <v>72</v>
      </c>
      <c r="F12" s="3">
        <v>0.7875</v>
      </c>
      <c r="G12" s="13" t="s">
        <v>70</v>
      </c>
    </row>
    <row r="13" ht="15.75" customHeight="1">
      <c r="A13" s="18" t="s">
        <v>73</v>
      </c>
      <c r="B13" s="19"/>
      <c r="C13" s="19"/>
      <c r="D13" s="19"/>
      <c r="E13" s="19"/>
      <c r="F13" s="19">
        <f>8*F12+F11</f>
        <v>8.6</v>
      </c>
      <c r="G13" s="20" t="s">
        <v>70</v>
      </c>
    </row>
    <row r="14" ht="15.75" customHeight="1"/>
    <row r="15" ht="15.75" customHeight="1">
      <c r="A15" s="21" t="s">
        <v>74</v>
      </c>
      <c r="B15" s="22"/>
      <c r="C15" s="22"/>
      <c r="D15" s="22"/>
      <c r="E15" s="22"/>
      <c r="F15" s="22">
        <f>$F$7*$F$10</f>
        <v>81.5</v>
      </c>
      <c r="G15" s="23" t="s">
        <v>75</v>
      </c>
    </row>
    <row r="16" ht="15.75" customHeight="1"/>
    <row r="17" ht="15.75" customHeight="1"/>
    <row r="18" ht="15.75" customHeight="1">
      <c r="A18" s="1" t="s">
        <v>76</v>
      </c>
    </row>
    <row r="19" ht="15.75" customHeight="1">
      <c r="A19" s="24" t="s">
        <v>77</v>
      </c>
      <c r="B19" s="25"/>
      <c r="C19" s="25"/>
      <c r="D19" s="25"/>
      <c r="E19" s="25"/>
      <c r="F19" s="25">
        <v>8.0</v>
      </c>
      <c r="G19" s="26" t="s">
        <v>78</v>
      </c>
    </row>
    <row r="20" ht="15.75" customHeight="1">
      <c r="A20" s="12" t="s">
        <v>79</v>
      </c>
      <c r="F20" s="3">
        <f>F19*F12</f>
        <v>6.3</v>
      </c>
      <c r="G20" s="13" t="s">
        <v>70</v>
      </c>
    </row>
    <row r="21" ht="15.75" customHeight="1">
      <c r="A21" s="12" t="s">
        <v>80</v>
      </c>
      <c r="F21" s="3">
        <f>SUM(F10:F11,F20)</f>
        <v>24.9</v>
      </c>
      <c r="G21" s="13" t="s">
        <v>70</v>
      </c>
    </row>
    <row r="22" ht="15.75" customHeight="1">
      <c r="A22" s="12" t="s">
        <v>81</v>
      </c>
      <c r="F22" s="27">
        <f>$F$15/F21</f>
        <v>3.273092369</v>
      </c>
      <c r="G22" s="13" t="s">
        <v>68</v>
      </c>
    </row>
    <row r="23" ht="15.75" customHeight="1">
      <c r="A23" s="28" t="s">
        <v>82</v>
      </c>
      <c r="B23" s="9"/>
      <c r="C23" s="9"/>
      <c r="D23" s="9"/>
      <c r="E23" s="9"/>
      <c r="F23" s="9">
        <v>700.0</v>
      </c>
      <c r="G23" s="29" t="s">
        <v>83</v>
      </c>
    </row>
    <row r="24" ht="15.75" customHeight="1">
      <c r="A24" s="30" t="s">
        <v>84</v>
      </c>
      <c r="B24" s="31"/>
      <c r="C24" s="31"/>
      <c r="D24" s="31"/>
      <c r="E24" s="31"/>
      <c r="F24" s="31">
        <v>600.0</v>
      </c>
      <c r="G24" s="32" t="s">
        <v>85</v>
      </c>
    </row>
    <row r="25" ht="15.75" customHeight="1"/>
    <row r="26" ht="15.75" customHeight="1">
      <c r="A26" s="1" t="s">
        <v>86</v>
      </c>
    </row>
    <row r="27" ht="15.75" customHeight="1">
      <c r="A27" s="33" t="s">
        <v>87</v>
      </c>
      <c r="B27" s="34"/>
      <c r="C27" s="34"/>
      <c r="D27" s="34"/>
      <c r="E27" s="34"/>
      <c r="F27" s="34">
        <v>0.0</v>
      </c>
      <c r="G27" s="35" t="s">
        <v>78</v>
      </c>
    </row>
    <row r="28" ht="15.75" customHeight="1">
      <c r="A28" s="12" t="s">
        <v>88</v>
      </c>
      <c r="F28" s="3">
        <f>F27*F12</f>
        <v>0</v>
      </c>
      <c r="G28" s="13" t="s">
        <v>70</v>
      </c>
    </row>
    <row r="29" ht="15.75" customHeight="1">
      <c r="A29" s="12" t="s">
        <v>89</v>
      </c>
      <c r="F29" s="3">
        <f>SUM(F10:F11,F28)</f>
        <v>18.6</v>
      </c>
      <c r="G29" s="13" t="s">
        <v>70</v>
      </c>
    </row>
    <row r="30" ht="15.75" customHeight="1">
      <c r="A30" s="12" t="s">
        <v>90</v>
      </c>
      <c r="F30" s="27">
        <f>$F$15/F29</f>
        <v>4.38172043</v>
      </c>
      <c r="G30" s="13" t="s">
        <v>68</v>
      </c>
    </row>
    <row r="31" ht="15.75" customHeight="1">
      <c r="A31" s="36" t="s">
        <v>91</v>
      </c>
      <c r="B31" s="10"/>
      <c r="C31" s="10"/>
      <c r="D31" s="10"/>
      <c r="E31" s="10"/>
      <c r="F31" s="10">
        <v>0.0</v>
      </c>
      <c r="G31" s="37" t="s">
        <v>83</v>
      </c>
    </row>
    <row r="32" ht="15.75" customHeight="1">
      <c r="A32" s="38" t="s">
        <v>92</v>
      </c>
      <c r="B32" s="39"/>
      <c r="C32" s="39"/>
      <c r="D32" s="39"/>
      <c r="E32" s="39"/>
      <c r="F32" s="39">
        <v>0.0</v>
      </c>
      <c r="G32" s="40" t="s">
        <v>85</v>
      </c>
    </row>
    <row r="33" ht="15.75" customHeight="1"/>
    <row r="34" ht="15.75" customHeight="1">
      <c r="A34" s="1" t="s">
        <v>93</v>
      </c>
    </row>
    <row r="35" ht="15.75" customHeight="1">
      <c r="A35" s="41" t="s">
        <v>94</v>
      </c>
      <c r="B35" s="42"/>
      <c r="C35" s="42"/>
      <c r="D35" s="42"/>
      <c r="E35" s="42"/>
      <c r="F35" s="42">
        <v>50.0</v>
      </c>
      <c r="G35" s="43" t="s">
        <v>85</v>
      </c>
    </row>
    <row r="36" ht="15.75" customHeight="1">
      <c r="A36" s="44" t="s">
        <v>95</v>
      </c>
      <c r="B36" s="11"/>
      <c r="C36" s="11"/>
      <c r="D36" s="11"/>
      <c r="E36" s="11"/>
      <c r="F36" s="11">
        <v>0.0</v>
      </c>
      <c r="G36" s="45" t="s">
        <v>85</v>
      </c>
    </row>
    <row r="37" ht="15.75" customHeight="1">
      <c r="A37" s="18" t="s">
        <v>96</v>
      </c>
      <c r="B37" s="19"/>
      <c r="C37" s="19"/>
      <c r="D37" s="19"/>
      <c r="E37" s="19"/>
      <c r="F37" s="46">
        <f>SQRT($F$23^2+$F$24^2)-SQRT($F$31^2+$F$32^2)</f>
        <v>921.9544457</v>
      </c>
      <c r="G37" s="20" t="s">
        <v>85</v>
      </c>
    </row>
    <row r="38" ht="15.75" customHeight="1"/>
    <row r="39" ht="15.75" customHeight="1"/>
    <row r="40" ht="15.75" customHeight="1"/>
    <row r="41" ht="15.75" customHeight="1"/>
    <row r="42" ht="15.75" customHeight="1">
      <c r="A42" s="1" t="s">
        <v>97</v>
      </c>
    </row>
    <row r="43" ht="15.75" customHeight="1">
      <c r="A43" s="6" t="s">
        <v>98</v>
      </c>
      <c r="B43" s="7"/>
      <c r="C43" s="7"/>
      <c r="D43" s="7"/>
      <c r="E43" s="7"/>
      <c r="F43" s="47" t="str">
        <f>distanceVerticalAccelerationRest($F$5,$F$22,$F$35)</f>
        <v>#NAME?</v>
      </c>
      <c r="G43" s="8" t="s">
        <v>85</v>
      </c>
    </row>
    <row r="44" ht="15.75" customHeight="1">
      <c r="A44" s="12" t="s">
        <v>99</v>
      </c>
      <c r="F44" s="27" t="str">
        <f>$F$35-$F$43</f>
        <v>#NAME?</v>
      </c>
      <c r="G44" s="13" t="s">
        <v>85</v>
      </c>
    </row>
    <row r="45" ht="15.75" customHeight="1">
      <c r="A45" s="48" t="s">
        <v>100</v>
      </c>
      <c r="B45" s="14"/>
      <c r="C45" s="14"/>
      <c r="D45" s="14"/>
      <c r="E45" s="49" t="s">
        <v>101</v>
      </c>
      <c r="F45" s="50" t="str">
        <f>timeVerticalAccelerationRest($F$5,$F$22,$F$35)</f>
        <v>#NAME?</v>
      </c>
      <c r="G45" s="51" t="s">
        <v>102</v>
      </c>
    </row>
    <row r="46" ht="15.75" customHeight="1">
      <c r="A46" s="48" t="s">
        <v>103</v>
      </c>
      <c r="B46" s="14"/>
      <c r="C46" s="14"/>
      <c r="D46" s="14"/>
      <c r="E46" s="49" t="s">
        <v>104</v>
      </c>
      <c r="F46" s="50" t="str">
        <f>F44/$F$5</f>
        <v>#NAME?</v>
      </c>
      <c r="G46" s="51" t="s">
        <v>102</v>
      </c>
    </row>
    <row r="47" ht="15.75" customHeight="1">
      <c r="A47" s="52" t="s">
        <v>105</v>
      </c>
      <c r="B47" s="53"/>
      <c r="C47" s="53"/>
      <c r="D47" s="53"/>
      <c r="E47" s="54"/>
      <c r="F47" s="55" t="str">
        <f>SUM(F45:F46)</f>
        <v>#NAME?</v>
      </c>
      <c r="G47" s="56" t="s">
        <v>102</v>
      </c>
    </row>
    <row r="48" ht="15.75" customHeight="1">
      <c r="E48" s="57"/>
      <c r="F48" s="27"/>
    </row>
    <row r="49" ht="15.75" customHeight="1">
      <c r="A49" s="1" t="s">
        <v>106</v>
      </c>
      <c r="E49" s="57"/>
      <c r="F49" s="27"/>
    </row>
    <row r="50" ht="15.75" customHeight="1">
      <c r="A50" s="6" t="s">
        <v>107</v>
      </c>
      <c r="B50" s="7"/>
      <c r="C50" s="7"/>
      <c r="D50" s="7"/>
      <c r="E50" s="58"/>
      <c r="F50" s="47" t="str">
        <f>distanceHorizontalAccelerationRest($F$4,$F$22,$F$37)</f>
        <v>#NAME?</v>
      </c>
      <c r="G50" s="8" t="s">
        <v>85</v>
      </c>
    </row>
    <row r="51" ht="15.75" customHeight="1">
      <c r="A51" s="12" t="s">
        <v>99</v>
      </c>
      <c r="E51" s="57"/>
      <c r="F51" s="27" t="str">
        <f>$F$37-F50-F52</f>
        <v>#NAME?</v>
      </c>
      <c r="G51" s="13" t="s">
        <v>85</v>
      </c>
    </row>
    <row r="52" ht="15.75" customHeight="1">
      <c r="A52" s="12" t="s">
        <v>108</v>
      </c>
      <c r="E52" s="57"/>
      <c r="F52" s="27" t="str">
        <f>distanceHorizontalAccelerationRest($F$4,$F$22,$F$37)</f>
        <v>#NAME?</v>
      </c>
      <c r="G52" s="13" t="s">
        <v>85</v>
      </c>
    </row>
    <row r="53" ht="15.75" customHeight="1">
      <c r="A53" s="59" t="s">
        <v>100</v>
      </c>
      <c r="B53" s="60"/>
      <c r="C53" s="60"/>
      <c r="D53" s="60"/>
      <c r="E53" s="61" t="s">
        <v>109</v>
      </c>
      <c r="F53" s="62" t="str">
        <f>timeHorizontalAccelerationRest($F$4,$F$22,$F$37)</f>
        <v>#NAME?</v>
      </c>
      <c r="G53" s="63" t="s">
        <v>102</v>
      </c>
    </row>
    <row r="54" ht="15.75" customHeight="1">
      <c r="A54" s="59" t="s">
        <v>103</v>
      </c>
      <c r="B54" s="60"/>
      <c r="C54" s="60"/>
      <c r="D54" s="60"/>
      <c r="E54" s="61" t="s">
        <v>110</v>
      </c>
      <c r="F54" s="62" t="str">
        <f>F51/$F$4</f>
        <v>#NAME?</v>
      </c>
      <c r="G54" s="63" t="s">
        <v>102</v>
      </c>
    </row>
    <row r="55" ht="15.75" customHeight="1">
      <c r="A55" s="59" t="s">
        <v>111</v>
      </c>
      <c r="B55" s="60"/>
      <c r="C55" s="60"/>
      <c r="D55" s="60"/>
      <c r="E55" s="61" t="s">
        <v>112</v>
      </c>
      <c r="F55" s="62" t="str">
        <f>timeHorizontalAccelerationRest($F$4,$F$22,$F$37)</f>
        <v>#NAME?</v>
      </c>
      <c r="G55" s="63" t="s">
        <v>102</v>
      </c>
    </row>
    <row r="56" ht="15.75" customHeight="1">
      <c r="A56" s="52" t="s">
        <v>113</v>
      </c>
      <c r="B56" s="53"/>
      <c r="C56" s="53"/>
      <c r="D56" s="53"/>
      <c r="E56" s="54"/>
      <c r="F56" s="55" t="str">
        <f>SUM(F53:F55)</f>
        <v>#NAME?</v>
      </c>
      <c r="G56" s="56" t="s">
        <v>102</v>
      </c>
    </row>
    <row r="57" ht="15.75" customHeight="1">
      <c r="E57" s="57"/>
      <c r="F57" s="27"/>
    </row>
    <row r="58" ht="15.75" customHeight="1">
      <c r="A58" s="1" t="s">
        <v>114</v>
      </c>
      <c r="E58" s="57"/>
      <c r="F58" s="27"/>
    </row>
    <row r="59" ht="15.75" customHeight="1">
      <c r="A59" s="6" t="s">
        <v>107</v>
      </c>
      <c r="B59" s="7"/>
      <c r="C59" s="7"/>
      <c r="D59" s="7"/>
      <c r="E59" s="58"/>
      <c r="F59" s="47" t="str">
        <f>distanceHorizontalAccelerationRest($F$4,$F$30,$F$37)</f>
        <v>#NAME?</v>
      </c>
      <c r="G59" s="8" t="s">
        <v>85</v>
      </c>
    </row>
    <row r="60" ht="15.75" customHeight="1">
      <c r="A60" s="12" t="s">
        <v>99</v>
      </c>
      <c r="E60" s="57"/>
      <c r="F60" s="27" t="str">
        <f>$F$37-F59-F61</f>
        <v>#NAME?</v>
      </c>
      <c r="G60" s="13" t="s">
        <v>85</v>
      </c>
    </row>
    <row r="61" ht="15.75" customHeight="1">
      <c r="A61" s="12" t="s">
        <v>108</v>
      </c>
      <c r="E61" s="57"/>
      <c r="F61" s="27" t="str">
        <f>distanceHorizontalAccelerationRest($F$4,$F$30,$F$37)</f>
        <v>#NAME?</v>
      </c>
      <c r="G61" s="13" t="s">
        <v>85</v>
      </c>
    </row>
    <row r="62" ht="15.75" customHeight="1">
      <c r="A62" s="59" t="s">
        <v>100</v>
      </c>
      <c r="B62" s="60"/>
      <c r="C62" s="60"/>
      <c r="D62" s="60"/>
      <c r="E62" s="61" t="s">
        <v>115</v>
      </c>
      <c r="F62" s="62" t="str">
        <f>timeHorizontalAccelerationRest($F$4,$F$30,$F$37)</f>
        <v>#NAME?</v>
      </c>
      <c r="G62" s="63" t="s">
        <v>102</v>
      </c>
    </row>
    <row r="63" ht="15.75" customHeight="1">
      <c r="A63" s="59" t="s">
        <v>103</v>
      </c>
      <c r="B63" s="60"/>
      <c r="C63" s="60"/>
      <c r="D63" s="60"/>
      <c r="E63" s="61" t="s">
        <v>116</v>
      </c>
      <c r="F63" s="62" t="str">
        <f>F60/$F$4</f>
        <v>#NAME?</v>
      </c>
      <c r="G63" s="63" t="s">
        <v>102</v>
      </c>
    </row>
    <row r="64" ht="15.75" customHeight="1">
      <c r="A64" s="59" t="s">
        <v>111</v>
      </c>
      <c r="B64" s="60"/>
      <c r="C64" s="60"/>
      <c r="D64" s="60"/>
      <c r="E64" s="61" t="s">
        <v>117</v>
      </c>
      <c r="F64" s="62" t="str">
        <f>timeHorizontalAccelerationRest($F$4,$F$30,$F$37)</f>
        <v>#NAME?</v>
      </c>
      <c r="G64" s="63" t="s">
        <v>102</v>
      </c>
    </row>
    <row r="65" ht="15.75" customHeight="1">
      <c r="A65" s="52" t="s">
        <v>118</v>
      </c>
      <c r="B65" s="53"/>
      <c r="C65" s="53"/>
      <c r="D65" s="53"/>
      <c r="E65" s="54"/>
      <c r="F65" s="55" t="str">
        <f>SUM(F62:F64)</f>
        <v>#NAME?</v>
      </c>
      <c r="G65" s="56" t="s">
        <v>102</v>
      </c>
    </row>
    <row r="66" ht="15.75" customHeight="1">
      <c r="E66" s="57"/>
      <c r="F66" s="27"/>
    </row>
    <row r="67" ht="15.75" customHeight="1">
      <c r="A67" s="1" t="s">
        <v>119</v>
      </c>
      <c r="E67" s="57"/>
      <c r="F67" s="27"/>
    </row>
    <row r="68" ht="15.75" customHeight="1">
      <c r="A68" s="6" t="s">
        <v>98</v>
      </c>
      <c r="B68" s="7"/>
      <c r="C68" s="7"/>
      <c r="D68" s="7"/>
      <c r="E68" s="58"/>
      <c r="F68" s="47" t="str">
        <f>distanceVerticalAccelerationRest($F$6,$F$30,$F$35)</f>
        <v>#NAME?</v>
      </c>
      <c r="G68" s="8" t="s">
        <v>85</v>
      </c>
    </row>
    <row r="69" ht="15.75" customHeight="1">
      <c r="A69" s="12" t="s">
        <v>99</v>
      </c>
      <c r="E69" s="57"/>
      <c r="F69" s="27" t="str">
        <f>$F$35-F68</f>
        <v>#NAME?</v>
      </c>
      <c r="G69" s="13" t="s">
        <v>85</v>
      </c>
    </row>
    <row r="70" ht="15.75" customHeight="1">
      <c r="A70" s="48" t="s">
        <v>100</v>
      </c>
      <c r="B70" s="14"/>
      <c r="C70" s="14"/>
      <c r="D70" s="14"/>
      <c r="E70" s="49" t="s">
        <v>120</v>
      </c>
      <c r="F70" s="50" t="str">
        <f>timeVerticalAccelerationRest($F$6,$F$30,$F$35)</f>
        <v>#NAME?</v>
      </c>
      <c r="G70" s="51" t="s">
        <v>102</v>
      </c>
    </row>
    <row r="71" ht="15.75" customHeight="1">
      <c r="A71" s="48" t="s">
        <v>103</v>
      </c>
      <c r="B71" s="14"/>
      <c r="C71" s="14"/>
      <c r="D71" s="14"/>
      <c r="E71" s="49" t="s">
        <v>121</v>
      </c>
      <c r="F71" s="50" t="str">
        <f>F69/$F$6</f>
        <v>#NAME?</v>
      </c>
      <c r="G71" s="51" t="s">
        <v>102</v>
      </c>
    </row>
    <row r="72" ht="15.75" customHeight="1">
      <c r="A72" s="52" t="s">
        <v>122</v>
      </c>
      <c r="B72" s="53"/>
      <c r="C72" s="53"/>
      <c r="D72" s="53"/>
      <c r="E72" s="53"/>
      <c r="F72" s="55" t="str">
        <f>SUM(F70:F71)</f>
        <v>#NAME?</v>
      </c>
      <c r="G72" s="56" t="s">
        <v>102</v>
      </c>
    </row>
    <row r="73" ht="15.75" customHeight="1"/>
    <row r="74" ht="15.75" customHeight="1"/>
    <row r="75" ht="15.75" customHeight="1">
      <c r="A75" s="64" t="s">
        <v>123</v>
      </c>
      <c r="B75" s="65"/>
      <c r="C75" s="65"/>
      <c r="D75" s="65"/>
      <c r="E75" s="65"/>
      <c r="F75" s="66" t="str">
        <f>SUM(F47,F56,F65,F72)</f>
        <v>#NAME?</v>
      </c>
      <c r="G75" s="67" t="s">
        <v>102</v>
      </c>
    </row>
    <row r="76" ht="15.75" customHeight="1"/>
    <row r="77" ht="15.75" customHeight="1"/>
    <row r="78" ht="15.75" customHeight="1">
      <c r="A78" s="1" t="s">
        <v>124</v>
      </c>
    </row>
    <row r="79" ht="15.75" customHeight="1">
      <c r="A79" s="6" t="s">
        <v>125</v>
      </c>
      <c r="B79" s="7"/>
      <c r="C79" s="7"/>
      <c r="D79" s="7"/>
      <c r="E79" s="7"/>
      <c r="F79" s="7">
        <v>0.1</v>
      </c>
      <c r="G79" s="8" t="s">
        <v>102</v>
      </c>
    </row>
    <row r="80" ht="15.75" customHeight="1">
      <c r="A80" s="68" t="s">
        <v>126</v>
      </c>
      <c r="B80" s="15"/>
      <c r="C80" s="15"/>
      <c r="D80" s="15"/>
      <c r="E80" s="69" t="s">
        <v>127</v>
      </c>
      <c r="F80" s="15">
        <f>($F$19-$F$27)*$F$79</f>
        <v>0.8</v>
      </c>
      <c r="G80" s="70" t="s">
        <v>102</v>
      </c>
    </row>
    <row r="81" ht="15.75" customHeight="1">
      <c r="A81" s="64" t="s">
        <v>128</v>
      </c>
      <c r="B81" s="71"/>
      <c r="C81" s="71"/>
      <c r="D81" s="71"/>
      <c r="E81" s="71"/>
      <c r="F81" s="71">
        <f>SUM(F80)</f>
        <v>0.8</v>
      </c>
      <c r="G81" s="67" t="s">
        <v>102</v>
      </c>
    </row>
    <row r="82" ht="15.75" customHeight="1"/>
    <row r="83" ht="15.75" customHeight="1"/>
    <row r="84" ht="15.75" customHeight="1"/>
    <row r="85" ht="15.75" customHeight="1">
      <c r="A85" s="72" t="s">
        <v>129</v>
      </c>
      <c r="B85" s="72"/>
      <c r="C85" s="72"/>
      <c r="D85" s="72"/>
      <c r="E85" s="72"/>
      <c r="F85" s="73" t="str">
        <f>F75+F80</f>
        <v>#NAME?</v>
      </c>
      <c r="G85" s="72" t="s">
        <v>102</v>
      </c>
    </row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2025-01-19T21:39:56Z</dcterms:created>
</cp:coreProperties>
</file>