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ne Specification Data" sheetId="1" r:id="rId4"/>
    <sheet state="visible" name="Time Calculations Of Drone Acti" sheetId="2" r:id="rId5"/>
  </sheets>
  <definedNames/>
  <calcPr/>
</workbook>
</file>

<file path=xl/sharedStrings.xml><?xml version="1.0" encoding="utf-8"?>
<sst xmlns="http://schemas.openxmlformats.org/spreadsheetml/2006/main" count="193" uniqueCount="130">
  <si>
    <t>Name</t>
  </si>
  <si>
    <t>Skydio X10</t>
  </si>
  <si>
    <t>Draganfly Heavy Lift Drone</t>
  </si>
  <si>
    <t>Hercules 20</t>
  </si>
  <si>
    <t>Perimeter 8+ UAV</t>
  </si>
  <si>
    <t>IF1200</t>
  </si>
  <si>
    <t>Max Speed</t>
  </si>
  <si>
    <t>20m/s (72 km/h)</t>
  </si>
  <si>
    <t>22 m/s (79.2 km/h)</t>
  </si>
  <si>
    <t>25 m/s (90 km/h)</t>
  </si>
  <si>
    <t>19.5 m/s (70 km/h)</t>
  </si>
  <si>
    <t>Acceleration - Horizontal and Vertical</t>
  </si>
  <si>
    <t>6 m/s^2</t>
  </si>
  <si>
    <t>5 m/s^2</t>
  </si>
  <si>
    <t>Ascent Speed</t>
  </si>
  <si>
    <t>6 m/s</t>
  </si>
  <si>
    <t>5 m/s</t>
  </si>
  <si>
    <t>Descent Speed</t>
  </si>
  <si>
    <t>4 m/s</t>
  </si>
  <si>
    <t>2.5 m/s</t>
  </si>
  <si>
    <t>Acceleration/Deceleration With Payload full (estimate)</t>
  </si>
  <si>
    <t>3.5 m/s^2</t>
  </si>
  <si>
    <t>Acceleration/Deceleration With Payload empty (estimate)</t>
  </si>
  <si>
    <t>4.5 m/s^2</t>
  </si>
  <si>
    <t>Max Payload Capacity</t>
  </si>
  <si>
    <t>0.84 lbs / 0.38 kg</t>
  </si>
  <si>
    <t>67 lbs / 30 kg</t>
  </si>
  <si>
    <t>33 lbs / 15 kg</t>
  </si>
  <si>
    <t>22 lbs / 10 kg</t>
  </si>
  <si>
    <t>19.1lbs / 8.6 kg</t>
  </si>
  <si>
    <t>Drone Weight Without Payload</t>
  </si>
  <si>
    <t>4.65 lbs / 2.11 kg</t>
  </si>
  <si>
    <t>97 lbs / 44 kg</t>
  </si>
  <si>
    <t>39.8 lbs / 18 kg</t>
  </si>
  <si>
    <t>35 lbs / 16 kg</t>
  </si>
  <si>
    <t>35.9 lbs / 16.3 kg</t>
  </si>
  <si>
    <t>Max Takeoff Weight</t>
  </si>
  <si>
    <t>5.49 lbs / 2.49 kg</t>
  </si>
  <si>
    <t>164 lbs / 74 kg</t>
  </si>
  <si>
    <t>72.8 lbs / 33 kg</t>
  </si>
  <si>
    <t>57 lb / 26 kg</t>
  </si>
  <si>
    <t>55 lbs / 24.9 kg</t>
  </si>
  <si>
    <t>Travel Time Between Zones (using example Zone ID1 700,600 with flight height of 50m)</t>
  </si>
  <si>
    <t>104 s</t>
  </si>
  <si>
    <t>Rate of Flow</t>
  </si>
  <si>
    <t>Arbitrary</t>
  </si>
  <si>
    <t>1 s</t>
  </si>
  <si>
    <t>Nozzle Time</t>
  </si>
  <si>
    <t>N/A</t>
  </si>
  <si>
    <t>References of the values</t>
  </si>
  <si>
    <t>https://www.skydio.com/x10/technical-specs</t>
  </si>
  <si>
    <t>https://draganfly.com/wp-content/uploads/2023/06/Draganfly-Heavy-Lift-Specs-Sheet-2023-PDF.pdf</t>
  </si>
  <si>
    <t>https://www.futurefarming.com/smart-farming/tools-data/drone-volt-launches-new-hercules-20-heavy-lift-drone/</t>
  </si>
  <si>
    <t>https://skyfront.com/perimeter-8</t>
  </si>
  <si>
    <t>https://storage.googleapis.com/inspiredflight-com/uploads/IF1200%20Spec%20Sheet%20.pdf</t>
  </si>
  <si>
    <r>
      <rPr>
        <color rgb="FF1155CC"/>
        <u/>
      </rPr>
      <t>Hercules_Spray_2024_EN.pdf</t>
    </r>
  </si>
  <si>
    <t>Drone Model</t>
  </si>
  <si>
    <t>units</t>
  </si>
  <si>
    <t>DRONE SPECS</t>
  </si>
  <si>
    <t>LEGEND</t>
  </si>
  <si>
    <t>Max Velocity Horizontal Flight</t>
  </si>
  <si>
    <t xml:space="preserve">m/s </t>
  </si>
  <si>
    <t>Input Required:</t>
  </si>
  <si>
    <t>Max Velocity Ascent Flight</t>
  </si>
  <si>
    <t>m/s</t>
  </si>
  <si>
    <t>data result:</t>
  </si>
  <si>
    <t>Max Velocity Descent Flight</t>
  </si>
  <si>
    <t>Acceleration No Payload</t>
  </si>
  <si>
    <t>m/s^2</t>
  </si>
  <si>
    <t>WEIGHT</t>
  </si>
  <si>
    <t>kg</t>
  </si>
  <si>
    <t>Weight of Payload Empty</t>
  </si>
  <si>
    <t>Weight of Single Fire Extinguishing Balls (FEBs)</t>
  </si>
  <si>
    <t>Weight of Payload Full (8x FEBs)</t>
  </si>
  <si>
    <t>Thrust Force Of Drone</t>
  </si>
  <si>
    <t>N</t>
  </si>
  <si>
    <t>TO ZONE TRIP DATA</t>
  </si>
  <si>
    <t>Payload with x number of FEBs To Zone Trip</t>
  </si>
  <si>
    <t>FEB Count</t>
  </si>
  <si>
    <t>Weight FEBs To Zone Trip</t>
  </si>
  <si>
    <t>Net Weight To Zone Trip</t>
  </si>
  <si>
    <t>Acceleration of Drone To Zone Trip</t>
  </si>
  <si>
    <t>Zone Coordinates x2</t>
  </si>
  <si>
    <t xml:space="preserve">m </t>
  </si>
  <si>
    <t>Zone Coordinates y2</t>
  </si>
  <si>
    <t>m</t>
  </si>
  <si>
    <t>RETURN TRIP DATA</t>
  </si>
  <si>
    <t>Payload with x number of FEBs Return Trip</t>
  </si>
  <si>
    <t>Weight FEBs Return Trip</t>
  </si>
  <si>
    <t>Net Weight Return Trip</t>
  </si>
  <si>
    <t>Acceleration of Drone Return Trip</t>
  </si>
  <si>
    <t>Zone Coordinates, x1</t>
  </si>
  <si>
    <t>Zone Coordinates, y1</t>
  </si>
  <si>
    <t>SHARED TRIP PRE DATA</t>
  </si>
  <si>
    <t>Max Height of Drone Flight, z2 = Δd(vertical)</t>
  </si>
  <si>
    <t>Min Height of Drone Flight, z1 = land</t>
  </si>
  <si>
    <t>distance of horizontal flight = Δd(horizontal)</t>
  </si>
  <si>
    <t>VERTICAL FLIGHT ASCENT TO ZONE (hard stop)</t>
  </si>
  <si>
    <t>distance to accelerate</t>
  </si>
  <si>
    <t>distance of constant (max) velocity</t>
  </si>
  <si>
    <t>time of acceleration</t>
  </si>
  <si>
    <t xml:space="preserve">t1 = </t>
  </si>
  <si>
    <t>s</t>
  </si>
  <si>
    <t>time of constant (max) velocity</t>
  </si>
  <si>
    <t xml:space="preserve">t2 = </t>
  </si>
  <si>
    <t>time total vertical flight ascent to zone</t>
  </si>
  <si>
    <t>HORIZONTAL FLIGHT TO ZONE</t>
  </si>
  <si>
    <t xml:space="preserve">distance to accelerate </t>
  </si>
  <si>
    <t xml:space="preserve">distance to deaccelerate </t>
  </si>
  <si>
    <t xml:space="preserve">t3 = </t>
  </si>
  <si>
    <t xml:space="preserve">t4 = </t>
  </si>
  <si>
    <t>time of deacceleration</t>
  </si>
  <si>
    <t xml:space="preserve">t5 = </t>
  </si>
  <si>
    <t>time total horizontal flight to zone</t>
  </si>
  <si>
    <t>HORIZONTAL FLIGHT RETURN</t>
  </si>
  <si>
    <t xml:space="preserve">t6 = </t>
  </si>
  <si>
    <t xml:space="preserve">t7 = </t>
  </si>
  <si>
    <t xml:space="preserve">t8 = </t>
  </si>
  <si>
    <t>time total horizontal flight return</t>
  </si>
  <si>
    <t>VERTICAL FLIGHT DESCENT RETURN (hard landing)</t>
  </si>
  <si>
    <t xml:space="preserve">t9 = </t>
  </si>
  <si>
    <t xml:space="preserve">t10 = </t>
  </si>
  <si>
    <t>time total vertical flight descent return</t>
  </si>
  <si>
    <t>TOTAL TRAVEL TIME BETWEEN ZONES</t>
  </si>
  <si>
    <t xml:space="preserve">RATE OF DROPPING FOAM </t>
  </si>
  <si>
    <t>Time to dispense single FEB (estimate)</t>
  </si>
  <si>
    <t>Time to dispense all FEBs</t>
  </si>
  <si>
    <t xml:space="preserve">tdrop = </t>
  </si>
  <si>
    <t>TOTAL TIME TO DROP FOAM</t>
  </si>
  <si>
    <t>TOTAL TIME OF ALL DRONE ACTIONS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</si>
</sst>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b/>
      <color rgb="FFFFFFFF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6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0" fillId="6" fontId="2" numFmtId="0" xfId="0" applyFill="1" applyFont="1"/>
    <xf borderId="0" fillId="7" fontId="2" numFmtId="0" xfId="0" applyFill="1" applyFont="1"/>
    <xf borderId="0" fillId="2" fontId="2" numFmtId="0" xfId="0" applyFont="1"/>
    <xf borderId="0" fillId="8" fontId="2" numFmtId="0" xfId="0" applyFill="1" applyFont="1"/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 shrinkToFit="0" wrapText="0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2" fillId="3" fontId="2" numFmtId="0" xfId="0" applyBorder="1" applyFont="1"/>
    <xf borderId="2" fillId="3" fontId="2" numFmtId="0" xfId="0" applyAlignment="1" applyBorder="1" applyFont="1">
      <alignment readingOrder="0"/>
    </xf>
    <xf borderId="3" fillId="3" fontId="2" numFmtId="0" xfId="0" applyAlignment="1" applyBorder="1" applyFont="1">
      <alignment readingOrder="0"/>
    </xf>
    <xf borderId="0" fillId="0" fontId="2" numFmtId="0" xfId="0" applyFont="1"/>
    <xf borderId="0" fillId="0" fontId="2" numFmtId="2" xfId="0" applyFont="1" applyNumberFormat="1"/>
    <xf borderId="4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5" fillId="3" fontId="2" numFmtId="0" xfId="0" applyAlignment="1" applyBorder="1" applyFont="1">
      <alignment readingOrder="0"/>
    </xf>
    <xf borderId="6" fillId="3" fontId="2" numFmtId="0" xfId="0" applyAlignment="1" applyBorder="1" applyFont="1">
      <alignment readingOrder="0"/>
    </xf>
    <xf borderId="7" fillId="3" fontId="2" numFmtId="0" xfId="0" applyBorder="1" applyFont="1"/>
    <xf borderId="7" fillId="3" fontId="2" numFmtId="0" xfId="0" applyAlignment="1" applyBorder="1" applyFont="1">
      <alignment readingOrder="0"/>
    </xf>
    <xf borderId="8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2" fillId="4" fontId="2" numFmtId="0" xfId="0" applyBorder="1" applyFont="1"/>
    <xf borderId="2" fillId="4" fontId="2" numFmtId="0" xfId="0" applyAlignment="1" applyBorder="1" applyFont="1">
      <alignment readingOrder="0"/>
    </xf>
    <xf borderId="3" fillId="4" fontId="2" numFmtId="0" xfId="0" applyAlignment="1" applyBorder="1" applyFont="1">
      <alignment readingOrder="0"/>
    </xf>
    <xf borderId="4" fillId="4" fontId="2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5" fillId="4" fontId="2" numFmtId="0" xfId="0" applyAlignment="1" applyBorder="1" applyFont="1">
      <alignment readingOrder="0"/>
    </xf>
    <xf borderId="6" fillId="4" fontId="2" numFmtId="0" xfId="0" applyAlignment="1" applyBorder="1" applyFont="1">
      <alignment readingOrder="0"/>
    </xf>
    <xf borderId="7" fillId="4" fontId="2" numFmtId="0" xfId="0" applyBorder="1" applyFont="1"/>
    <xf borderId="7" fillId="4" fontId="2" numFmtId="0" xfId="0" applyAlignment="1" applyBorder="1" applyFont="1">
      <alignment readingOrder="0"/>
    </xf>
    <xf borderId="8" fillId="4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2" fillId="5" fontId="2" numFmtId="0" xfId="0" applyBorder="1" applyFont="1"/>
    <xf borderId="2" fillId="5" fontId="2" numFmtId="0" xfId="0" applyAlignment="1" applyBorder="1" applyFont="1">
      <alignment readingOrder="0"/>
    </xf>
    <xf borderId="3" fillId="5" fontId="2" numFmtId="0" xfId="0" applyAlignment="1" applyBorder="1" applyFont="1">
      <alignment readingOrder="0"/>
    </xf>
    <xf borderId="4" fillId="5" fontId="2" numFmtId="0" xfId="0" applyAlignment="1" applyBorder="1" applyFont="1">
      <alignment readingOrder="0"/>
    </xf>
    <xf borderId="0" fillId="5" fontId="2" numFmtId="0" xfId="0" applyAlignment="1" applyFont="1">
      <alignment readingOrder="0"/>
    </xf>
    <xf borderId="5" fillId="5" fontId="2" numFmtId="0" xfId="0" applyAlignment="1" applyBorder="1" applyFont="1">
      <alignment readingOrder="0"/>
    </xf>
    <xf borderId="6" fillId="0" fontId="7" numFmtId="0" xfId="0" applyAlignment="1" applyBorder="1" applyFont="1">
      <alignment readingOrder="0" vertical="bottom"/>
    </xf>
    <xf borderId="7" fillId="0" fontId="7" numFmtId="0" xfId="0" applyAlignment="1" applyBorder="1" applyFont="1">
      <alignment vertical="bottom"/>
    </xf>
    <xf borderId="7" fillId="0" fontId="7" numFmtId="2" xfId="0" applyAlignment="1" applyBorder="1" applyFont="1" applyNumberFormat="1">
      <alignment horizontal="right" vertical="bottom"/>
    </xf>
    <xf borderId="8" fillId="0" fontId="7" numFmtId="0" xfId="0" applyAlignment="1" applyBorder="1" applyFont="1">
      <alignment vertical="bottom"/>
    </xf>
    <xf borderId="2" fillId="0" fontId="2" numFmtId="2" xfId="0" applyBorder="1" applyFont="1" applyNumberFormat="1"/>
    <xf borderId="4" fillId="6" fontId="2" numFmtId="0" xfId="0" applyAlignment="1" applyBorder="1" applyFont="1">
      <alignment readingOrder="0"/>
    </xf>
    <xf borderId="0" fillId="6" fontId="2" numFmtId="0" xfId="0" applyAlignment="1" applyFont="1">
      <alignment horizontal="right" readingOrder="0"/>
    </xf>
    <xf borderId="0" fillId="6" fontId="2" numFmtId="2" xfId="0" applyFont="1" applyNumberFormat="1"/>
    <xf borderId="5" fillId="6" fontId="2" numFmtId="0" xfId="0" applyAlignment="1" applyBorder="1" applyFont="1">
      <alignment readingOrder="0"/>
    </xf>
    <xf borderId="6" fillId="7" fontId="2" numFmtId="0" xfId="0" applyAlignment="1" applyBorder="1" applyFont="1">
      <alignment readingOrder="0"/>
    </xf>
    <xf borderId="7" fillId="7" fontId="2" numFmtId="0" xfId="0" applyBorder="1" applyFont="1"/>
    <xf borderId="7" fillId="7" fontId="2" numFmtId="0" xfId="0" applyAlignment="1" applyBorder="1" applyFont="1">
      <alignment horizontal="right"/>
    </xf>
    <xf borderId="7" fillId="7" fontId="2" numFmtId="2" xfId="0" applyBorder="1" applyFont="1" applyNumberFormat="1"/>
    <xf borderId="8" fillId="7" fontId="2" numFmtId="0" xfId="0" applyAlignment="1" applyBorder="1" applyFont="1">
      <alignment readingOrder="0"/>
    </xf>
    <xf borderId="0" fillId="0" fontId="2" numFmtId="0" xfId="0" applyAlignment="1" applyFont="1">
      <alignment horizontal="right"/>
    </xf>
    <xf borderId="2" fillId="0" fontId="2" numFmtId="0" xfId="0" applyAlignment="1" applyBorder="1" applyFont="1">
      <alignment horizontal="right"/>
    </xf>
    <xf borderId="4" fillId="9" fontId="2" numFmtId="0" xfId="0" applyAlignment="1" applyBorder="1" applyFill="1" applyFont="1">
      <alignment readingOrder="0"/>
    </xf>
    <xf borderId="0" fillId="9" fontId="2" numFmtId="0" xfId="0" applyFont="1"/>
    <xf borderId="0" fillId="9" fontId="2" numFmtId="0" xfId="0" applyAlignment="1" applyFont="1">
      <alignment horizontal="right" readingOrder="0"/>
    </xf>
    <xf borderId="0" fillId="9" fontId="2" numFmtId="2" xfId="0" applyFont="1" applyNumberFormat="1"/>
    <xf borderId="5" fillId="9" fontId="2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3" fillId="2" fontId="2" numFmtId="0" xfId="0" applyBorder="1" applyFont="1"/>
    <xf borderId="13" fillId="2" fontId="1" numFmtId="2" xfId="0" applyBorder="1" applyFont="1" applyNumberFormat="1"/>
    <xf borderId="14" fillId="2" fontId="1" numFmtId="0" xfId="0" applyAlignment="1" applyBorder="1" applyFont="1">
      <alignment readingOrder="0"/>
    </xf>
    <xf borderId="4" fillId="7" fontId="2" numFmtId="0" xfId="0" applyAlignment="1" applyBorder="1" applyFont="1">
      <alignment readingOrder="0"/>
    </xf>
    <xf borderId="0" fillId="7" fontId="2" numFmtId="0" xfId="0" applyAlignment="1" applyFont="1">
      <alignment horizontal="right" readingOrder="0"/>
    </xf>
    <xf borderId="5" fillId="7" fontId="2" numFmtId="0" xfId="0" applyAlignment="1" applyBorder="1" applyFont="1">
      <alignment readingOrder="0"/>
    </xf>
    <xf borderId="13" fillId="2" fontId="1" numFmtId="0" xfId="0" applyBorder="1" applyFont="1"/>
    <xf borderId="0" fillId="8" fontId="8" numFmtId="0" xfId="0" applyAlignment="1" applyFont="1">
      <alignment readingOrder="0"/>
    </xf>
    <xf borderId="0" fillId="8" fontId="8" numFmtId="0" xfId="0" applyFont="1"/>
    <xf borderId="0" fillId="8" fontId="8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ydio.com/x10/technical-specs" TargetMode="External"/><Relationship Id="rId2" Type="http://schemas.openxmlformats.org/officeDocument/2006/relationships/hyperlink" Target="https://draganfly.com/wp-content/uploads/2023/06/Draganfly-Heavy-Lift-Specs-Sheet-2023-PDF.pdf" TargetMode="External"/><Relationship Id="rId3" Type="http://schemas.openxmlformats.org/officeDocument/2006/relationships/hyperlink" Target="https://www.futurefarming.com/smart-farming/tools-data/drone-volt-launches-new-hercules-20-heavy-lift-drone/" TargetMode="External"/><Relationship Id="rId4" Type="http://schemas.openxmlformats.org/officeDocument/2006/relationships/hyperlink" Target="https://skyfront.com/perimeter-8" TargetMode="External"/><Relationship Id="rId5" Type="http://schemas.openxmlformats.org/officeDocument/2006/relationships/hyperlink" Target="https://storage.googleapis.com/inspiredflight-com/uploads/IF1200%20Spec%20Sheet%20.pdf" TargetMode="External"/><Relationship Id="rId6" Type="http://schemas.openxmlformats.org/officeDocument/2006/relationships/hyperlink" Target="https://www.dronevolt.com/wp-content/uploads/2024/01/Hercules_Spray_2024_EN.pdf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  <col customWidth="1" min="2" max="6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9</v>
      </c>
    </row>
    <row r="3">
      <c r="A3" s="3" t="s">
        <v>11</v>
      </c>
      <c r="B3" s="4" t="s">
        <v>12</v>
      </c>
      <c r="F3" s="3" t="s">
        <v>13</v>
      </c>
    </row>
    <row r="4">
      <c r="A4" s="3" t="s">
        <v>14</v>
      </c>
      <c r="B4" s="4" t="s">
        <v>15</v>
      </c>
      <c r="C4" s="3" t="s">
        <v>16</v>
      </c>
      <c r="F4" s="3" t="s">
        <v>16</v>
      </c>
    </row>
    <row r="5">
      <c r="A5" s="3" t="s">
        <v>17</v>
      </c>
      <c r="B5" s="3" t="s">
        <v>18</v>
      </c>
      <c r="C5" s="3" t="s">
        <v>18</v>
      </c>
      <c r="F5" s="3" t="s">
        <v>19</v>
      </c>
    </row>
    <row r="7">
      <c r="A7" s="3" t="s">
        <v>20</v>
      </c>
      <c r="F7" s="3" t="s">
        <v>21</v>
      </c>
    </row>
    <row r="8">
      <c r="A8" s="3" t="s">
        <v>22</v>
      </c>
      <c r="F8" s="3" t="s">
        <v>23</v>
      </c>
    </row>
    <row r="10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</row>
    <row r="11">
      <c r="A11" s="3" t="s">
        <v>30</v>
      </c>
      <c r="B11" s="3" t="s">
        <v>31</v>
      </c>
      <c r="C11" s="3" t="s">
        <v>32</v>
      </c>
      <c r="D11" s="3" t="s">
        <v>33</v>
      </c>
      <c r="E11" s="3" t="s">
        <v>34</v>
      </c>
      <c r="F11" s="3" t="s">
        <v>35</v>
      </c>
    </row>
    <row r="12">
      <c r="A12" s="3" t="s">
        <v>36</v>
      </c>
      <c r="B12" s="3" t="s">
        <v>37</v>
      </c>
      <c r="C12" s="3" t="s">
        <v>38</v>
      </c>
      <c r="D12" s="3" t="s">
        <v>39</v>
      </c>
      <c r="E12" s="3" t="s">
        <v>40</v>
      </c>
      <c r="F12" s="3" t="s">
        <v>41</v>
      </c>
    </row>
    <row r="14">
      <c r="A14" s="3" t="s">
        <v>42</v>
      </c>
      <c r="F14" s="3" t="s">
        <v>43</v>
      </c>
    </row>
    <row r="15">
      <c r="A15" s="3" t="s">
        <v>44</v>
      </c>
      <c r="B15" s="3" t="s">
        <v>45</v>
      </c>
      <c r="F15" s="3" t="s">
        <v>46</v>
      </c>
    </row>
    <row r="16">
      <c r="A16" s="3" t="s">
        <v>47</v>
      </c>
      <c r="B16" s="3" t="s">
        <v>45</v>
      </c>
      <c r="F16" s="3" t="s">
        <v>48</v>
      </c>
    </row>
    <row r="22">
      <c r="A22" s="3"/>
      <c r="F22" s="3"/>
      <c r="G22" s="5"/>
    </row>
    <row r="23">
      <c r="A23" s="3"/>
      <c r="F23" s="3"/>
      <c r="G23" s="5"/>
    </row>
    <row r="24">
      <c r="A24" s="3"/>
      <c r="G24" s="5"/>
    </row>
    <row r="26">
      <c r="A26" s="3" t="s">
        <v>49</v>
      </c>
      <c r="B26" s="6" t="s">
        <v>50</v>
      </c>
      <c r="C26" s="6" t="s">
        <v>51</v>
      </c>
      <c r="D26" s="6" t="s">
        <v>52</v>
      </c>
      <c r="E26" s="7" t="s">
        <v>53</v>
      </c>
      <c r="F26" s="6" t="s">
        <v>54</v>
      </c>
    </row>
    <row r="27">
      <c r="D27" s="8" t="s">
        <v>55</v>
      </c>
    </row>
  </sheetData>
  <hyperlinks>
    <hyperlink r:id="rId1" ref="B26"/>
    <hyperlink r:id="rId2" ref="C26"/>
    <hyperlink r:id="rId3" ref="D26"/>
    <hyperlink r:id="rId4" ref="E26"/>
    <hyperlink r:id="rId5" ref="F26"/>
    <hyperlink r:id="rId6" ref="D27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</cols>
  <sheetData>
    <row r="1">
      <c r="A1" s="1" t="s">
        <v>56</v>
      </c>
      <c r="B1" s="1"/>
      <c r="C1" s="1"/>
      <c r="D1" s="1"/>
      <c r="E1" s="1"/>
      <c r="F1" s="2" t="s">
        <v>5</v>
      </c>
      <c r="G1" s="1" t="s">
        <v>57</v>
      </c>
    </row>
    <row r="2">
      <c r="I2" s="3"/>
    </row>
    <row r="3">
      <c r="A3" s="1" t="s">
        <v>58</v>
      </c>
      <c r="F3" s="3"/>
      <c r="G3" s="3"/>
      <c r="H3" s="3" t="s">
        <v>59</v>
      </c>
    </row>
    <row r="4">
      <c r="A4" s="9" t="s">
        <v>60</v>
      </c>
      <c r="B4" s="10"/>
      <c r="C4" s="10"/>
      <c r="D4" s="10"/>
      <c r="E4" s="10"/>
      <c r="F4" s="11">
        <v>25.0</v>
      </c>
      <c r="G4" s="12" t="s">
        <v>61</v>
      </c>
      <c r="H4" s="3" t="s">
        <v>62</v>
      </c>
      <c r="I4" s="13"/>
      <c r="J4" s="14"/>
      <c r="K4" s="15"/>
    </row>
    <row r="5">
      <c r="A5" s="16" t="s">
        <v>63</v>
      </c>
      <c r="F5" s="3">
        <v>5.0</v>
      </c>
      <c r="G5" s="17" t="s">
        <v>64</v>
      </c>
      <c r="H5" s="3" t="s">
        <v>65</v>
      </c>
      <c r="I5" s="18"/>
      <c r="J5" s="19"/>
      <c r="K5" s="20"/>
      <c r="L5" s="21"/>
    </row>
    <row r="6">
      <c r="A6" s="16" t="s">
        <v>66</v>
      </c>
      <c r="F6" s="3">
        <v>2.5</v>
      </c>
      <c r="G6" s="17" t="s">
        <v>64</v>
      </c>
    </row>
    <row r="7">
      <c r="A7" s="22" t="s">
        <v>67</v>
      </c>
      <c r="B7" s="23"/>
      <c r="C7" s="24"/>
      <c r="D7" s="24"/>
      <c r="E7" s="24"/>
      <c r="F7" s="25">
        <v>5.0</v>
      </c>
      <c r="G7" s="26" t="s">
        <v>68</v>
      </c>
    </row>
    <row r="9">
      <c r="A9" s="1" t="s">
        <v>69</v>
      </c>
    </row>
    <row r="10">
      <c r="A10" s="9" t="s">
        <v>30</v>
      </c>
      <c r="B10" s="10"/>
      <c r="C10" s="10"/>
      <c r="D10" s="10"/>
      <c r="E10" s="10"/>
      <c r="F10" s="11">
        <v>16.3</v>
      </c>
      <c r="G10" s="12" t="s">
        <v>70</v>
      </c>
    </row>
    <row r="11">
      <c r="A11" s="16" t="s">
        <v>71</v>
      </c>
      <c r="F11" s="3">
        <f>8.6-8*F12</f>
        <v>2.3</v>
      </c>
      <c r="G11" s="17" t="s">
        <v>70</v>
      </c>
    </row>
    <row r="12">
      <c r="A12" s="16" t="s">
        <v>72</v>
      </c>
      <c r="F12" s="3">
        <v>0.7875</v>
      </c>
      <c r="G12" s="17" t="s">
        <v>70</v>
      </c>
    </row>
    <row r="13">
      <c r="A13" s="22" t="s">
        <v>73</v>
      </c>
      <c r="B13" s="24"/>
      <c r="C13" s="24"/>
      <c r="D13" s="24"/>
      <c r="E13" s="24"/>
      <c r="F13" s="24">
        <f>8*F12+F11</f>
        <v>8.6</v>
      </c>
      <c r="G13" s="26" t="s">
        <v>70</v>
      </c>
    </row>
    <row r="15">
      <c r="A15" s="27" t="s">
        <v>74</v>
      </c>
      <c r="B15" s="28"/>
      <c r="C15" s="28"/>
      <c r="D15" s="28"/>
      <c r="E15" s="28"/>
      <c r="F15" s="28">
        <f>$F$7*$F$10</f>
        <v>81.5</v>
      </c>
      <c r="G15" s="29" t="s">
        <v>75</v>
      </c>
    </row>
    <row r="18">
      <c r="A18" s="1" t="s">
        <v>76</v>
      </c>
    </row>
    <row r="19">
      <c r="A19" s="30" t="s">
        <v>77</v>
      </c>
      <c r="B19" s="31"/>
      <c r="C19" s="31"/>
      <c r="D19" s="31"/>
      <c r="E19" s="31"/>
      <c r="F19" s="32">
        <v>8.0</v>
      </c>
      <c r="G19" s="33" t="s">
        <v>78</v>
      </c>
    </row>
    <row r="20">
      <c r="A20" s="16" t="s">
        <v>79</v>
      </c>
      <c r="F20" s="34">
        <f>F19*F12</f>
        <v>6.3</v>
      </c>
      <c r="G20" s="17" t="s">
        <v>70</v>
      </c>
    </row>
    <row r="21">
      <c r="A21" s="16" t="s">
        <v>80</v>
      </c>
      <c r="F21" s="34">
        <f>SUM(F10:F11,F20)</f>
        <v>24.9</v>
      </c>
      <c r="G21" s="17" t="s">
        <v>70</v>
      </c>
    </row>
    <row r="22">
      <c r="A22" s="16" t="s">
        <v>81</v>
      </c>
      <c r="F22" s="35">
        <f>$F$15/F21</f>
        <v>3.273092369</v>
      </c>
      <c r="G22" s="17" t="s">
        <v>68</v>
      </c>
    </row>
    <row r="23">
      <c r="A23" s="36" t="s">
        <v>82</v>
      </c>
      <c r="B23" s="13"/>
      <c r="C23" s="13"/>
      <c r="D23" s="13"/>
      <c r="E23" s="13"/>
      <c r="F23" s="37">
        <v>700.0</v>
      </c>
      <c r="G23" s="38" t="s">
        <v>83</v>
      </c>
    </row>
    <row r="24">
      <c r="A24" s="39" t="s">
        <v>84</v>
      </c>
      <c r="B24" s="40"/>
      <c r="C24" s="40"/>
      <c r="D24" s="40"/>
      <c r="E24" s="40"/>
      <c r="F24" s="41">
        <v>600.0</v>
      </c>
      <c r="G24" s="42" t="s">
        <v>85</v>
      </c>
    </row>
    <row r="26">
      <c r="A26" s="1" t="s">
        <v>86</v>
      </c>
    </row>
    <row r="27">
      <c r="A27" s="43" t="s">
        <v>87</v>
      </c>
      <c r="B27" s="44"/>
      <c r="C27" s="44"/>
      <c r="D27" s="44"/>
      <c r="E27" s="44"/>
      <c r="F27" s="45">
        <v>0.0</v>
      </c>
      <c r="G27" s="46" t="s">
        <v>78</v>
      </c>
    </row>
    <row r="28">
      <c r="A28" s="16" t="s">
        <v>88</v>
      </c>
      <c r="F28" s="34">
        <f>F27*F12</f>
        <v>0</v>
      </c>
      <c r="G28" s="17" t="s">
        <v>70</v>
      </c>
    </row>
    <row r="29">
      <c r="A29" s="16" t="s">
        <v>89</v>
      </c>
      <c r="F29" s="34">
        <f>SUM(F10:F11,F28)</f>
        <v>18.6</v>
      </c>
      <c r="G29" s="17" t="s">
        <v>70</v>
      </c>
    </row>
    <row r="30">
      <c r="A30" s="16" t="s">
        <v>90</v>
      </c>
      <c r="F30" s="35">
        <f>$F$15/F29</f>
        <v>4.38172043</v>
      </c>
      <c r="G30" s="17" t="s">
        <v>68</v>
      </c>
    </row>
    <row r="31">
      <c r="A31" s="47" t="s">
        <v>91</v>
      </c>
      <c r="B31" s="14"/>
      <c r="C31" s="14"/>
      <c r="D31" s="14"/>
      <c r="E31" s="14"/>
      <c r="F31" s="48">
        <v>0.0</v>
      </c>
      <c r="G31" s="49" t="s">
        <v>83</v>
      </c>
    </row>
    <row r="32">
      <c r="A32" s="50" t="s">
        <v>92</v>
      </c>
      <c r="B32" s="51"/>
      <c r="C32" s="51"/>
      <c r="D32" s="51"/>
      <c r="E32" s="51"/>
      <c r="F32" s="52">
        <v>0.0</v>
      </c>
      <c r="G32" s="53" t="s">
        <v>85</v>
      </c>
    </row>
    <row r="34">
      <c r="A34" s="1" t="s">
        <v>93</v>
      </c>
    </row>
    <row r="35">
      <c r="A35" s="54" t="s">
        <v>94</v>
      </c>
      <c r="B35" s="55"/>
      <c r="C35" s="55"/>
      <c r="D35" s="55"/>
      <c r="E35" s="55"/>
      <c r="F35" s="56">
        <v>50.0</v>
      </c>
      <c r="G35" s="57" t="s">
        <v>85</v>
      </c>
    </row>
    <row r="36">
      <c r="A36" s="58" t="s">
        <v>95</v>
      </c>
      <c r="B36" s="15"/>
      <c r="C36" s="15"/>
      <c r="D36" s="15"/>
      <c r="E36" s="15"/>
      <c r="F36" s="59">
        <v>0.0</v>
      </c>
      <c r="G36" s="60" t="s">
        <v>85</v>
      </c>
    </row>
    <row r="37">
      <c r="A37" s="61" t="s">
        <v>96</v>
      </c>
      <c r="B37" s="62"/>
      <c r="C37" s="62"/>
      <c r="D37" s="62"/>
      <c r="E37" s="62"/>
      <c r="F37" s="63">
        <f>SQRT($F$23^2+$F$24^2)-SQRT($F$31^2+$F$32^2)</f>
        <v>921.9544457</v>
      </c>
      <c r="G37" s="64" t="s">
        <v>85</v>
      </c>
    </row>
    <row r="42">
      <c r="A42" s="1" t="s">
        <v>97</v>
      </c>
    </row>
    <row r="43">
      <c r="A43" s="9" t="s">
        <v>98</v>
      </c>
      <c r="B43" s="10"/>
      <c r="C43" s="10"/>
      <c r="D43" s="10"/>
      <c r="E43" s="10"/>
      <c r="F43" s="65">
        <f>distanceVerticalAccelerationRest($F$5,$F$22,$F$35)</f>
        <v>3.819018405</v>
      </c>
      <c r="G43" s="12" t="s">
        <v>85</v>
      </c>
    </row>
    <row r="44">
      <c r="A44" s="16" t="s">
        <v>99</v>
      </c>
      <c r="F44" s="35">
        <f>$F$35-$F$43</f>
        <v>46.1809816</v>
      </c>
      <c r="G44" s="17" t="s">
        <v>85</v>
      </c>
    </row>
    <row r="45">
      <c r="A45" s="66" t="s">
        <v>100</v>
      </c>
      <c r="B45" s="18"/>
      <c r="C45" s="18"/>
      <c r="D45" s="18"/>
      <c r="E45" s="67" t="s">
        <v>101</v>
      </c>
      <c r="F45" s="68">
        <f>timeVerticalAccelerationRest($F$5,$F$22,$F$35)</f>
        <v>0.763803681</v>
      </c>
      <c r="G45" s="69" t="s">
        <v>102</v>
      </c>
    </row>
    <row r="46">
      <c r="A46" s="66" t="s">
        <v>103</v>
      </c>
      <c r="B46" s="18"/>
      <c r="C46" s="18"/>
      <c r="D46" s="18"/>
      <c r="E46" s="67" t="s">
        <v>104</v>
      </c>
      <c r="F46" s="68">
        <f>F44/$F$5</f>
        <v>9.236196319</v>
      </c>
      <c r="G46" s="69" t="s">
        <v>102</v>
      </c>
    </row>
    <row r="47">
      <c r="A47" s="70" t="s">
        <v>105</v>
      </c>
      <c r="B47" s="71"/>
      <c r="C47" s="71"/>
      <c r="D47" s="71"/>
      <c r="E47" s="72"/>
      <c r="F47" s="73">
        <f>SUM(F45:F46)</f>
        <v>10</v>
      </c>
      <c r="G47" s="74" t="s">
        <v>102</v>
      </c>
    </row>
    <row r="48">
      <c r="E48" s="75"/>
      <c r="F48" s="35"/>
    </row>
    <row r="49">
      <c r="A49" s="1" t="s">
        <v>106</v>
      </c>
      <c r="E49" s="75"/>
      <c r="F49" s="35"/>
    </row>
    <row r="50">
      <c r="A50" s="9" t="s">
        <v>107</v>
      </c>
      <c r="B50" s="10"/>
      <c r="C50" s="10"/>
      <c r="D50" s="10"/>
      <c r="E50" s="76"/>
      <c r="F50" s="65">
        <f>distanceHorizontalAccelerationRest($F$4,$F$22,$F$37)</f>
        <v>95.47546012</v>
      </c>
      <c r="G50" s="12" t="s">
        <v>85</v>
      </c>
    </row>
    <row r="51">
      <c r="A51" s="16" t="s">
        <v>99</v>
      </c>
      <c r="E51" s="75"/>
      <c r="F51" s="35">
        <f>$F$37-F50-F52</f>
        <v>731.0035255</v>
      </c>
      <c r="G51" s="17" t="s">
        <v>85</v>
      </c>
    </row>
    <row r="52">
      <c r="A52" s="16" t="s">
        <v>108</v>
      </c>
      <c r="E52" s="75"/>
      <c r="F52" s="35">
        <f>distanceHorizontalAccelerationRest($F$4,$F$22,$F$37)</f>
        <v>95.47546012</v>
      </c>
      <c r="G52" s="17" t="s">
        <v>85</v>
      </c>
    </row>
    <row r="53">
      <c r="A53" s="77" t="s">
        <v>100</v>
      </c>
      <c r="B53" s="78"/>
      <c r="C53" s="78"/>
      <c r="D53" s="78"/>
      <c r="E53" s="79" t="s">
        <v>109</v>
      </c>
      <c r="F53" s="80">
        <f>timeHorizontalAccelerationRest($F$4,$F$22,$F$37)</f>
        <v>3.819018405</v>
      </c>
      <c r="G53" s="81" t="s">
        <v>102</v>
      </c>
    </row>
    <row r="54">
      <c r="A54" s="77" t="s">
        <v>103</v>
      </c>
      <c r="B54" s="78"/>
      <c r="C54" s="78"/>
      <c r="D54" s="78"/>
      <c r="E54" s="79" t="s">
        <v>110</v>
      </c>
      <c r="F54" s="80">
        <f>F51/$F$4</f>
        <v>29.24014102</v>
      </c>
      <c r="G54" s="81" t="s">
        <v>102</v>
      </c>
    </row>
    <row r="55">
      <c r="A55" s="77" t="s">
        <v>111</v>
      </c>
      <c r="B55" s="78"/>
      <c r="C55" s="78"/>
      <c r="D55" s="78"/>
      <c r="E55" s="79" t="s">
        <v>112</v>
      </c>
      <c r="F55" s="80">
        <f>timeHorizontalAccelerationRest($F$4,$F$22,$F$37)</f>
        <v>3.819018405</v>
      </c>
      <c r="G55" s="81" t="s">
        <v>102</v>
      </c>
    </row>
    <row r="56">
      <c r="A56" s="70" t="s">
        <v>113</v>
      </c>
      <c r="B56" s="71"/>
      <c r="C56" s="71"/>
      <c r="D56" s="71"/>
      <c r="E56" s="72"/>
      <c r="F56" s="73">
        <f>SUM(F53:F55)</f>
        <v>36.87817783</v>
      </c>
      <c r="G56" s="74" t="s">
        <v>102</v>
      </c>
    </row>
    <row r="57">
      <c r="E57" s="75"/>
      <c r="F57" s="35"/>
    </row>
    <row r="58">
      <c r="A58" s="1" t="s">
        <v>114</v>
      </c>
      <c r="E58" s="75"/>
      <c r="F58" s="35"/>
    </row>
    <row r="59">
      <c r="A59" s="9" t="s">
        <v>107</v>
      </c>
      <c r="B59" s="10"/>
      <c r="C59" s="10"/>
      <c r="D59" s="10"/>
      <c r="E59" s="76"/>
      <c r="F59" s="65">
        <f>distanceHorizontalAccelerationRest($F$4,$F$30,$F$37)</f>
        <v>71.3190184</v>
      </c>
      <c r="G59" s="12" t="s">
        <v>85</v>
      </c>
    </row>
    <row r="60">
      <c r="A60" s="16" t="s">
        <v>99</v>
      </c>
      <c r="E60" s="75"/>
      <c r="F60" s="35">
        <f>$F$37-F59-F61</f>
        <v>779.3164089</v>
      </c>
      <c r="G60" s="17" t="s">
        <v>85</v>
      </c>
    </row>
    <row r="61">
      <c r="A61" s="16" t="s">
        <v>108</v>
      </c>
      <c r="E61" s="75"/>
      <c r="F61" s="35">
        <f>distanceHorizontalAccelerationRest($F$4,$F$30,$F$37)</f>
        <v>71.3190184</v>
      </c>
      <c r="G61" s="17" t="s">
        <v>85</v>
      </c>
    </row>
    <row r="62">
      <c r="A62" s="77" t="s">
        <v>100</v>
      </c>
      <c r="B62" s="78"/>
      <c r="C62" s="78"/>
      <c r="D62" s="78"/>
      <c r="E62" s="79" t="s">
        <v>115</v>
      </c>
      <c r="F62" s="80">
        <f>timeHorizontalAccelerationRest($F$4,$F$30,$F$37)</f>
        <v>2.852760736</v>
      </c>
      <c r="G62" s="81" t="s">
        <v>102</v>
      </c>
    </row>
    <row r="63">
      <c r="A63" s="77" t="s">
        <v>103</v>
      </c>
      <c r="B63" s="78"/>
      <c r="C63" s="78"/>
      <c r="D63" s="78"/>
      <c r="E63" s="79" t="s">
        <v>116</v>
      </c>
      <c r="F63" s="80">
        <f>F60/$F$4</f>
        <v>31.17265636</v>
      </c>
      <c r="G63" s="81" t="s">
        <v>102</v>
      </c>
    </row>
    <row r="64">
      <c r="A64" s="77" t="s">
        <v>111</v>
      </c>
      <c r="B64" s="78"/>
      <c r="C64" s="78"/>
      <c r="D64" s="78"/>
      <c r="E64" s="79" t="s">
        <v>117</v>
      </c>
      <c r="F64" s="80">
        <f>timeHorizontalAccelerationRest($F$4,$F$30,$F$37)</f>
        <v>2.852760736</v>
      </c>
      <c r="G64" s="81" t="s">
        <v>102</v>
      </c>
    </row>
    <row r="65">
      <c r="A65" s="70" t="s">
        <v>118</v>
      </c>
      <c r="B65" s="71"/>
      <c r="C65" s="71"/>
      <c r="D65" s="71"/>
      <c r="E65" s="72"/>
      <c r="F65" s="73">
        <f>SUM(F62:F64)</f>
        <v>36.87817783</v>
      </c>
      <c r="G65" s="74" t="s">
        <v>102</v>
      </c>
    </row>
    <row r="66">
      <c r="E66" s="75"/>
      <c r="F66" s="35"/>
    </row>
    <row r="67">
      <c r="A67" s="1" t="s">
        <v>119</v>
      </c>
      <c r="E67" s="75"/>
      <c r="F67" s="35"/>
    </row>
    <row r="68">
      <c r="A68" s="9" t="s">
        <v>98</v>
      </c>
      <c r="B68" s="10"/>
      <c r="C68" s="10"/>
      <c r="D68" s="10"/>
      <c r="E68" s="76"/>
      <c r="F68" s="65">
        <f>distanceVerticalAccelerationRest($F$6,$F$30,$F$35)</f>
        <v>0.713190184</v>
      </c>
      <c r="G68" s="12" t="s">
        <v>85</v>
      </c>
    </row>
    <row r="69">
      <c r="A69" s="16" t="s">
        <v>99</v>
      </c>
      <c r="E69" s="75"/>
      <c r="F69" s="35">
        <f>$F$35-F68</f>
        <v>49.28680982</v>
      </c>
      <c r="G69" s="17" t="s">
        <v>85</v>
      </c>
    </row>
    <row r="70">
      <c r="A70" s="66" t="s">
        <v>100</v>
      </c>
      <c r="B70" s="18"/>
      <c r="C70" s="18"/>
      <c r="D70" s="18"/>
      <c r="E70" s="67" t="s">
        <v>120</v>
      </c>
      <c r="F70" s="68">
        <f>timeVerticalAccelerationRest($F$6,$F$30,$F$35)</f>
        <v>0.2852760736</v>
      </c>
      <c r="G70" s="69" t="s">
        <v>102</v>
      </c>
    </row>
    <row r="71">
      <c r="A71" s="66" t="s">
        <v>103</v>
      </c>
      <c r="B71" s="18"/>
      <c r="C71" s="18"/>
      <c r="D71" s="18"/>
      <c r="E71" s="67" t="s">
        <v>121</v>
      </c>
      <c r="F71" s="68">
        <f>F69/$F$6</f>
        <v>19.71472393</v>
      </c>
      <c r="G71" s="69" t="s">
        <v>102</v>
      </c>
    </row>
    <row r="72">
      <c r="A72" s="70" t="s">
        <v>122</v>
      </c>
      <c r="B72" s="71"/>
      <c r="C72" s="71"/>
      <c r="D72" s="71"/>
      <c r="E72" s="71"/>
      <c r="F72" s="73">
        <f>SUM(F70:F71)</f>
        <v>20</v>
      </c>
      <c r="G72" s="74" t="s">
        <v>102</v>
      </c>
    </row>
    <row r="75">
      <c r="A75" s="82" t="s">
        <v>123</v>
      </c>
      <c r="B75" s="83"/>
      <c r="C75" s="83"/>
      <c r="D75" s="83"/>
      <c r="E75" s="83"/>
      <c r="F75" s="84">
        <f>SUM(F47,F56,F65,F72)</f>
        <v>103.7563557</v>
      </c>
      <c r="G75" s="85" t="s">
        <v>102</v>
      </c>
    </row>
    <row r="78">
      <c r="A78" s="1" t="s">
        <v>124</v>
      </c>
    </row>
    <row r="79">
      <c r="A79" s="9" t="s">
        <v>125</v>
      </c>
      <c r="B79" s="10"/>
      <c r="C79" s="10"/>
      <c r="D79" s="10"/>
      <c r="E79" s="10"/>
      <c r="F79" s="11">
        <v>0.1</v>
      </c>
      <c r="G79" s="12" t="s">
        <v>102</v>
      </c>
    </row>
    <row r="80">
      <c r="A80" s="86" t="s">
        <v>126</v>
      </c>
      <c r="B80" s="19"/>
      <c r="C80" s="19"/>
      <c r="D80" s="19"/>
      <c r="E80" s="87" t="s">
        <v>127</v>
      </c>
      <c r="F80" s="19">
        <f>($F$19-$F$27)*$F$79</f>
        <v>0.8</v>
      </c>
      <c r="G80" s="88" t="s">
        <v>102</v>
      </c>
    </row>
    <row r="81">
      <c r="A81" s="82" t="s">
        <v>128</v>
      </c>
      <c r="B81" s="89"/>
      <c r="C81" s="89"/>
      <c r="D81" s="89"/>
      <c r="E81" s="89"/>
      <c r="F81" s="89">
        <f>SUM(F80)</f>
        <v>0.8</v>
      </c>
      <c r="G81" s="85" t="s">
        <v>102</v>
      </c>
    </row>
    <row r="85">
      <c r="A85" s="90" t="s">
        <v>129</v>
      </c>
      <c r="B85" s="91"/>
      <c r="C85" s="91"/>
      <c r="D85" s="91"/>
      <c r="E85" s="91"/>
      <c r="F85" s="92">
        <f>F75+F80</f>
        <v>104.5563557</v>
      </c>
      <c r="G85" s="90" t="s">
        <v>102</v>
      </c>
    </row>
  </sheetData>
  <drawing r:id="rId1"/>
</worksheet>
</file>